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he\Documents\"/>
    </mc:Choice>
  </mc:AlternateContent>
  <xr:revisionPtr revIDLastSave="0" documentId="13_ncr:1_{A7BD83D2-E270-428C-8BE9-1CA4AEDC79A3}" xr6:coauthVersionLast="47" xr6:coauthVersionMax="47" xr10:uidLastSave="{00000000-0000-0000-0000-000000000000}"/>
  <bookViews>
    <workbookView xWindow="-110" yWindow="-110" windowWidth="19420" windowHeight="11020" xr2:uid="{920D1558-F77F-4043-A190-6580D615A287}"/>
  </bookViews>
  <sheets>
    <sheet name="Assumptions" sheetId="7" r:id="rId1"/>
    <sheet name="Budget Allocator" sheetId="6" r:id="rId2"/>
    <sheet name="Burn Tracker" sheetId="5" r:id="rId3"/>
    <sheet name="Performance Bridge" sheetId="4" r:id="rId4"/>
    <sheet name="Benchmarking" sheetId="3" r:id="rId5"/>
    <sheet name="Scenario Analysis" sheetId="2" r:id="rId6"/>
    <sheet name="Dashboard" sheetId="1" r:id="rId7"/>
  </sheets>
  <definedNames>
    <definedName name="_xlchart.v5.0" hidden="1">'Budget Allocator'!$A$4:$A$11</definedName>
    <definedName name="_xlchart.v5.1" hidden="1">'Budget Allocator'!$E$4:$E$11</definedName>
    <definedName name="_xlchart.v5.2" hidden="1">'Budget Allocator'!$A$4:$A$11</definedName>
    <definedName name="_xlchart.v5.3" hidden="1">'Budget Allocator'!$E$4:$E$11</definedName>
    <definedName name="ActiveScenario">Assumptions!$B$23</definedName>
    <definedName name="AdjustedCap">Assumptions!$B$6</definedName>
    <definedName name="CapLimit">Assumptions!$B$4</definedName>
    <definedName name="SprintRaces">Assumptions!$B$8</definedName>
    <definedName name="StandardRaces">Assumptions!$B$9</definedName>
    <definedName name="TotalRaces">Assumptions!$B$7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5" l="1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4" i="5"/>
  <c r="B31" i="4"/>
  <c r="B30" i="4"/>
  <c r="L16" i="1"/>
  <c r="K16" i="1"/>
  <c r="J16" i="1"/>
  <c r="K15" i="1"/>
  <c r="K14" i="1"/>
  <c r="G24" i="1"/>
  <c r="G23" i="1"/>
  <c r="G22" i="1"/>
  <c r="G19" i="1"/>
  <c r="G18" i="1"/>
  <c r="G17" i="1"/>
  <c r="G16" i="1"/>
  <c r="G15" i="1"/>
  <c r="G14" i="1"/>
  <c r="G13" i="1"/>
  <c r="A18" i="1"/>
  <c r="A17" i="1"/>
  <c r="A16" i="1"/>
  <c r="A15" i="1"/>
  <c r="A14" i="1"/>
  <c r="A13" i="1"/>
  <c r="J10" i="1"/>
  <c r="L5" i="1"/>
  <c r="I3" i="1"/>
  <c r="D18" i="2"/>
  <c r="C18" i="2"/>
  <c r="B18" i="2"/>
  <c r="D17" i="2"/>
  <c r="C17" i="2"/>
  <c r="D16" i="2"/>
  <c r="C16" i="2"/>
  <c r="D15" i="2"/>
  <c r="C15" i="2"/>
  <c r="C12" i="2"/>
  <c r="D12" i="2"/>
  <c r="B12" i="2"/>
  <c r="D7" i="2"/>
  <c r="D8" i="2"/>
  <c r="D9" i="2"/>
  <c r="D10" i="2"/>
  <c r="D11" i="2"/>
  <c r="C7" i="2"/>
  <c r="C8" i="2"/>
  <c r="C9" i="2"/>
  <c r="C10" i="2"/>
  <c r="C11" i="2"/>
  <c r="B7" i="2"/>
  <c r="B8" i="2"/>
  <c r="B9" i="2"/>
  <c r="B10" i="2"/>
  <c r="B11" i="2"/>
  <c r="D6" i="2"/>
  <c r="C6" i="2"/>
  <c r="B6" i="2"/>
  <c r="C35" i="3"/>
  <c r="C34" i="3"/>
  <c r="C33" i="3"/>
  <c r="C32" i="3"/>
  <c r="C31" i="3"/>
  <c r="C30" i="3"/>
  <c r="G23" i="3"/>
  <c r="F24" i="3"/>
  <c r="E24" i="3"/>
  <c r="D24" i="3"/>
  <c r="C24" i="3"/>
  <c r="F23" i="3"/>
  <c r="E23" i="3"/>
  <c r="D23" i="3"/>
  <c r="C23" i="3"/>
  <c r="B23" i="3"/>
  <c r="F22" i="3"/>
  <c r="E22" i="3"/>
  <c r="D22" i="3"/>
  <c r="C22" i="3"/>
  <c r="F21" i="3"/>
  <c r="E21" i="3"/>
  <c r="D21" i="3"/>
  <c r="C21" i="3"/>
  <c r="C12" i="3"/>
  <c r="D12" i="3"/>
  <c r="E12" i="3"/>
  <c r="F12" i="3"/>
  <c r="D25" i="4"/>
  <c r="C25" i="4"/>
  <c r="D24" i="4"/>
  <c r="C24" i="4"/>
  <c r="D23" i="4"/>
  <c r="C23" i="4"/>
  <c r="C22" i="4"/>
  <c r="D21" i="4"/>
  <c r="C21" i="4"/>
  <c r="B14" i="4"/>
  <c r="B31" i="5"/>
  <c r="E5" i="5"/>
  <c r="E6" i="5"/>
  <c r="E7" i="5"/>
  <c r="E8" i="5"/>
  <c r="E9" i="5"/>
  <c r="B36" i="5" s="1"/>
  <c r="E10" i="5"/>
  <c r="E11" i="5"/>
  <c r="E12" i="5"/>
  <c r="E13" i="5"/>
  <c r="E14" i="5"/>
  <c r="E15" i="5"/>
  <c r="E16" i="5"/>
  <c r="E17" i="5"/>
  <c r="E18" i="5"/>
  <c r="E19" i="5"/>
  <c r="E20" i="5"/>
  <c r="E21" i="5"/>
  <c r="B37" i="5" s="1"/>
  <c r="E22" i="5"/>
  <c r="E23" i="5"/>
  <c r="E24" i="5"/>
  <c r="E25" i="5"/>
  <c r="E26" i="5"/>
  <c r="E27" i="5"/>
  <c r="E4" i="5"/>
  <c r="B15" i="6"/>
  <c r="E5" i="6"/>
  <c r="G5" i="6" s="1"/>
  <c r="E6" i="6"/>
  <c r="F6" i="6" s="1"/>
  <c r="C15" i="1" s="1"/>
  <c r="E7" i="6"/>
  <c r="F7" i="6" s="1"/>
  <c r="C16" i="1" s="1"/>
  <c r="E8" i="6"/>
  <c r="F8" i="6" s="1"/>
  <c r="C17" i="1" s="1"/>
  <c r="E9" i="6"/>
  <c r="F9" i="6" s="1"/>
  <c r="C18" i="1" s="1"/>
  <c r="E4" i="6"/>
  <c r="B6" i="3" s="1"/>
  <c r="C11" i="6"/>
  <c r="D11" i="6"/>
  <c r="B11" i="6"/>
  <c r="B24" i="7"/>
  <c r="C15" i="6" s="1"/>
  <c r="B17" i="7"/>
  <c r="B45" i="7"/>
  <c r="B9" i="7"/>
  <c r="B6" i="7"/>
  <c r="B14" i="1" l="1"/>
  <c r="B11" i="3"/>
  <c r="B35" i="3" s="1"/>
  <c r="D35" i="3" s="1"/>
  <c r="E35" i="3" s="1"/>
  <c r="B30" i="3"/>
  <c r="D30" i="3" s="1"/>
  <c r="B8" i="3"/>
  <c r="B32" i="3" s="1"/>
  <c r="D32" i="3" s="1"/>
  <c r="B13" i="1"/>
  <c r="B10" i="3"/>
  <c r="B34" i="3" s="1"/>
  <c r="D34" i="3" s="1"/>
  <c r="B16" i="1"/>
  <c r="B17" i="1"/>
  <c r="B18" i="1"/>
  <c r="B5" i="4"/>
  <c r="B9" i="4"/>
  <c r="F9" i="4" s="1"/>
  <c r="D17" i="1" s="1"/>
  <c r="B9" i="3"/>
  <c r="B33" i="3" s="1"/>
  <c r="D33" i="3" s="1"/>
  <c r="E33" i="3" s="1"/>
  <c r="B15" i="1"/>
  <c r="B6" i="4"/>
  <c r="F6" i="4" s="1"/>
  <c r="D14" i="1" s="1"/>
  <c r="B10" i="4"/>
  <c r="F10" i="4" s="1"/>
  <c r="D18" i="1" s="1"/>
  <c r="I4" i="1"/>
  <c r="B8" i="4"/>
  <c r="F8" i="4" s="1"/>
  <c r="D16" i="1" s="1"/>
  <c r="B7" i="4"/>
  <c r="F7" i="4" s="1"/>
  <c r="D15" i="1" s="1"/>
  <c r="B7" i="3"/>
  <c r="B31" i="3" s="1"/>
  <c r="D31" i="3" s="1"/>
  <c r="E31" i="3" s="1"/>
  <c r="E28" i="5"/>
  <c r="B34" i="5"/>
  <c r="B35" i="5"/>
  <c r="F4" i="5"/>
  <c r="E11" i="6"/>
  <c r="F5" i="6"/>
  <c r="C14" i="1" s="1"/>
  <c r="G4" i="6"/>
  <c r="G9" i="6"/>
  <c r="G8" i="6"/>
  <c r="G7" i="6"/>
  <c r="G6" i="6"/>
  <c r="F4" i="6"/>
  <c r="B13" i="6" l="1"/>
  <c r="D7" i="1" s="1"/>
  <c r="A7" i="1"/>
  <c r="B19" i="1"/>
  <c r="D10" i="1"/>
  <c r="F11" i="6"/>
  <c r="C13" i="1"/>
  <c r="B24" i="4"/>
  <c r="B23" i="4"/>
  <c r="B11" i="4"/>
  <c r="B15" i="4" s="1"/>
  <c r="B22" i="4"/>
  <c r="B25" i="4"/>
  <c r="B21" i="4"/>
  <c r="F5" i="4"/>
  <c r="B12" i="3"/>
  <c r="K23" i="1"/>
  <c r="J23" i="1"/>
  <c r="E34" i="3"/>
  <c r="K22" i="1"/>
  <c r="J22" i="1"/>
  <c r="E32" i="3"/>
  <c r="K21" i="1"/>
  <c r="E30" i="3"/>
  <c r="J21" i="1"/>
  <c r="F5" i="5"/>
  <c r="I4" i="5"/>
  <c r="H4" i="5"/>
  <c r="G4" i="5"/>
  <c r="G11" i="6"/>
  <c r="A10" i="1" l="1"/>
  <c r="C19" i="1"/>
  <c r="B21" i="3"/>
  <c r="B22" i="3"/>
  <c r="B24" i="3"/>
  <c r="G24" i="3" s="1"/>
  <c r="E23" i="4"/>
  <c r="D19" i="1"/>
  <c r="F11" i="4"/>
  <c r="E24" i="4"/>
  <c r="E25" i="4"/>
  <c r="E22" i="4"/>
  <c r="E21" i="4"/>
  <c r="D13" i="1"/>
  <c r="G5" i="5"/>
  <c r="H5" i="5"/>
  <c r="F6" i="5"/>
  <c r="I5" i="5"/>
  <c r="B16" i="4" l="1"/>
  <c r="G10" i="1" s="1"/>
  <c r="B13" i="4"/>
  <c r="B29" i="4"/>
  <c r="J7" i="1" s="1"/>
  <c r="B15" i="2"/>
  <c r="J15" i="1"/>
  <c r="G22" i="3"/>
  <c r="L15" i="1" s="1"/>
  <c r="J14" i="1"/>
  <c r="G21" i="3"/>
  <c r="L14" i="1" s="1"/>
  <c r="F7" i="5"/>
  <c r="H6" i="5"/>
  <c r="G6" i="5"/>
  <c r="I6" i="5"/>
  <c r="B16" i="2" l="1"/>
  <c r="B28" i="2"/>
  <c r="B30" i="2" s="1"/>
  <c r="G7" i="1"/>
  <c r="A27" i="1"/>
  <c r="B26" i="3"/>
  <c r="I18" i="1" s="1"/>
  <c r="G7" i="5"/>
  <c r="F8" i="5"/>
  <c r="H7" i="5"/>
  <c r="I7" i="5"/>
  <c r="H8" i="5" l="1"/>
  <c r="F9" i="5"/>
  <c r="G8" i="5"/>
  <c r="I8" i="5"/>
  <c r="F10" i="5" l="1"/>
  <c r="G9" i="5"/>
  <c r="H9" i="5"/>
  <c r="I9" i="5"/>
  <c r="F11" i="5" l="1"/>
  <c r="G10" i="5"/>
  <c r="H10" i="5"/>
  <c r="I10" i="5"/>
  <c r="F12" i="5" l="1"/>
  <c r="G11" i="5"/>
  <c r="H11" i="5"/>
  <c r="I11" i="5"/>
  <c r="F13" i="5" l="1"/>
  <c r="G12" i="5"/>
  <c r="I12" i="5"/>
  <c r="H12" i="5"/>
  <c r="F14" i="5" l="1"/>
  <c r="H13" i="5"/>
  <c r="G13" i="5"/>
  <c r="I13" i="5"/>
  <c r="F15" i="5" l="1"/>
  <c r="G14" i="5"/>
  <c r="H14" i="5"/>
  <c r="I14" i="5"/>
  <c r="F16" i="5" l="1"/>
  <c r="G15" i="5"/>
  <c r="H15" i="5"/>
  <c r="I15" i="5"/>
  <c r="F17" i="5" l="1"/>
  <c r="G16" i="5"/>
  <c r="H16" i="5"/>
  <c r="I16" i="5"/>
  <c r="F18" i="5" l="1"/>
  <c r="G17" i="5"/>
  <c r="H17" i="5"/>
  <c r="I17" i="5"/>
  <c r="F19" i="5" l="1"/>
  <c r="H18" i="5"/>
  <c r="G18" i="5"/>
  <c r="I18" i="5"/>
  <c r="F20" i="5" l="1"/>
  <c r="G19" i="5"/>
  <c r="H19" i="5"/>
  <c r="I19" i="5"/>
  <c r="F21" i="5" l="1"/>
  <c r="H20" i="5"/>
  <c r="G20" i="5"/>
  <c r="I20" i="5"/>
  <c r="F22" i="5" l="1"/>
  <c r="G21" i="5"/>
  <c r="H21" i="5"/>
  <c r="I21" i="5"/>
  <c r="F23" i="5" l="1"/>
  <c r="G22" i="5"/>
  <c r="H22" i="5"/>
  <c r="I22" i="5"/>
  <c r="F24" i="5" l="1"/>
  <c r="G23" i="5"/>
  <c r="H23" i="5"/>
  <c r="I23" i="5"/>
  <c r="F25" i="5" l="1"/>
  <c r="G24" i="5"/>
  <c r="H24" i="5"/>
  <c r="I24" i="5"/>
  <c r="F26" i="5" l="1"/>
  <c r="G25" i="5"/>
  <c r="H25" i="5"/>
  <c r="I25" i="5"/>
  <c r="F27" i="5" l="1"/>
  <c r="G26" i="5"/>
  <c r="H26" i="5"/>
  <c r="I26" i="5"/>
  <c r="B33" i="5" l="1"/>
  <c r="B30" i="5"/>
  <c r="B32" i="5" s="1"/>
  <c r="G27" i="5"/>
  <c r="H27" i="5"/>
  <c r="I27" i="5"/>
</calcChain>
</file>

<file path=xl/sharedStrings.xml><?xml version="1.0" encoding="utf-8"?>
<sst xmlns="http://schemas.openxmlformats.org/spreadsheetml/2006/main" count="373" uniqueCount="273">
  <si>
    <t>Parameter</t>
  </si>
  <si>
    <t>Value</t>
  </si>
  <si>
    <t>Notes</t>
  </si>
  <si>
    <t>FIA Cost Cap Limit</t>
  </si>
  <si>
    <t>Inflation Adjustment %</t>
  </si>
  <si>
    <t>Adjusted Cap (with inflation)</t>
  </si>
  <si>
    <t>Number of Races</t>
  </si>
  <si>
    <t>Number of Sprint Weekends</t>
  </si>
  <si>
    <t>Standard Race Weekends</t>
  </si>
  <si>
    <t>Applied to selected flyaway races</t>
  </si>
  <si>
    <t>Auto-calculated</t>
  </si>
  <si>
    <t>Higher operational cost</t>
  </si>
  <si>
    <t>EXCLUDED ITEMS (Outside Cost Cap)</t>
  </si>
  <si>
    <t>Top 3 Driver Salaries</t>
  </si>
  <si>
    <t>Engine / Power Unit Supply</t>
  </si>
  <si>
    <t>Marketing &amp; Promotional</t>
  </si>
  <si>
    <t>Historical Contractual Commitments</t>
  </si>
  <si>
    <t>Total Excluded</t>
  </si>
  <si>
    <t>Estimated — Norris, Piastri + reserve</t>
  </si>
  <si>
    <t>Supplied by Mercedes, excluded</t>
  </si>
  <si>
    <t>Brand activities outside sporting regs</t>
  </si>
  <si>
    <t>Legacy contracts pre-cap era</t>
  </si>
  <si>
    <t>SCENARIO CONTROLS</t>
  </si>
  <si>
    <t>Active Scenario</t>
  </si>
  <si>
    <t>Scenario Description</t>
  </si>
  <si>
    <t>DEPARTMENT DEFINITIONS</t>
  </si>
  <si>
    <t>Dept 1</t>
  </si>
  <si>
    <t>Dept 2</t>
  </si>
  <si>
    <t>Dept 3</t>
  </si>
  <si>
    <t>Dept 4</t>
  </si>
  <si>
    <t>Dept 5</t>
  </si>
  <si>
    <t>Dept 6</t>
  </si>
  <si>
    <t>Aerodynamic R&amp;D</t>
  </si>
  <si>
    <t>Wind tunnel, CFD simulation, design</t>
  </si>
  <si>
    <t>Manufacturing &amp; Production</t>
  </si>
  <si>
    <t>Race Operations &amp; Logistics</t>
  </si>
  <si>
    <t>Trackside Engineering</t>
  </si>
  <si>
    <t>IT &amp; Simulation Infrastructure</t>
  </si>
  <si>
    <t>Contingency Reserve</t>
  </si>
  <si>
    <t>Parts fabrication, materials, tooling</t>
  </si>
  <si>
    <t>Freight, travel, hospitality, crew</t>
  </si>
  <si>
    <t>Garage equipment, pit crew, comms</t>
  </si>
  <si>
    <t>Data systems, simulator, software</t>
  </si>
  <si>
    <t>Unplanned costs, damage repair buffer</t>
  </si>
  <si>
    <t>PER-RACE COST ASSUMPTIONS</t>
  </si>
  <si>
    <t>Standard Race Weekend Cost</t>
  </si>
  <si>
    <t>Sprint Race Weekend Cost</t>
  </si>
  <si>
    <t>European Race Premium</t>
  </si>
  <si>
    <t>Flyaway Race Premium</t>
  </si>
  <si>
    <t>Avg operational cost per standard race</t>
  </si>
  <si>
    <t>Higher due to extra sessions + logistics</t>
  </si>
  <si>
    <t>Lower freight cost vs flyaway</t>
  </si>
  <si>
    <t>Long-haul freight, hotel, visa costs</t>
  </si>
  <si>
    <t>Base Case</t>
  </si>
  <si>
    <t>F1 COST CAP FINANCIAL MODEL — McLAREN RACING 2025</t>
  </si>
  <si>
    <t>USD, 2025 season</t>
  </si>
  <si>
    <t>Model Last Updated:</t>
  </si>
  <si>
    <t>2025 F1 Calendar</t>
  </si>
  <si>
    <t>BUDGET ALLOCATOR — FIA COST CAP 2025</t>
  </si>
  <si>
    <t>Department</t>
  </si>
  <si>
    <t>Base Case ($)</t>
  </si>
  <si>
    <t>Aggressive Dev ($)</t>
  </si>
  <si>
    <t>Operations Focus ($)</t>
  </si>
  <si>
    <t>Active Allocation ($)</t>
  </si>
  <si>
    <t>% of Cap</t>
  </si>
  <si>
    <t>Headroom ($)</t>
  </si>
  <si>
    <t>TOTAL</t>
  </si>
  <si>
    <t>CAP STATUS</t>
  </si>
  <si>
    <t>Active Scenario:</t>
  </si>
  <si>
    <t>Scenario 1</t>
  </si>
  <si>
    <t>Scenario 2</t>
  </si>
  <si>
    <t>Scenario 3</t>
  </si>
  <si>
    <t>Active</t>
  </si>
  <si>
    <t>RACE-BY-RACE BURN TRACKER — 2025 SEASON</t>
  </si>
  <si>
    <t>#</t>
  </si>
  <si>
    <t>Race</t>
  </si>
  <si>
    <t>Type</t>
  </si>
  <si>
    <t>Location</t>
  </si>
  <si>
    <t>Estimated Race Cost ($)</t>
  </si>
  <si>
    <t>Cumulative Spend ($)</t>
  </si>
  <si>
    <t>Burn Rate Status</t>
  </si>
  <si>
    <t>Breach Risk</t>
  </si>
  <si>
    <t>Australian GP</t>
  </si>
  <si>
    <t>Standard</t>
  </si>
  <si>
    <t>Flyaway</t>
  </si>
  <si>
    <t>Chinese GP</t>
  </si>
  <si>
    <t>Sprint</t>
  </si>
  <si>
    <t>Japanese GP</t>
  </si>
  <si>
    <t>Bahrain GP</t>
  </si>
  <si>
    <t>Saudi Arabian GP</t>
  </si>
  <si>
    <t>Miami GP</t>
  </si>
  <si>
    <t>Emilia Romagna GP</t>
  </si>
  <si>
    <t>European</t>
  </si>
  <si>
    <t>Monaco GP</t>
  </si>
  <si>
    <t>Spanish GP</t>
  </si>
  <si>
    <t>Canadian GP</t>
  </si>
  <si>
    <t>Austrian GP</t>
  </si>
  <si>
    <t>British GP</t>
  </si>
  <si>
    <t>Belgian GP</t>
  </si>
  <si>
    <t>Hungarian GP</t>
  </si>
  <si>
    <t>Dutch GP</t>
  </si>
  <si>
    <t>Italian GP</t>
  </si>
  <si>
    <t>Azerbaijan GP</t>
  </si>
  <si>
    <t>Singapore GP</t>
  </si>
  <si>
    <t>United States GP</t>
  </si>
  <si>
    <t>Mexico City GP</t>
  </si>
  <si>
    <t>São Paulo GP</t>
  </si>
  <si>
    <t>Las Vegas GP</t>
  </si>
  <si>
    <t>Qatar GP</t>
  </si>
  <si>
    <t>Abu Dhabi GP</t>
  </si>
  <si>
    <t>Total Estimated Season Spend</t>
  </si>
  <si>
    <t>Cap Limit</t>
  </si>
  <si>
    <t>Projected Headroom / (Breach)</t>
  </si>
  <si>
    <t>Average Cost Per Race</t>
  </si>
  <si>
    <t>Most Expensive Race</t>
  </si>
  <si>
    <t>Cheapest Race</t>
  </si>
  <si>
    <t>Sprint Weekends Total Cost</t>
  </si>
  <si>
    <t>Standard Weekends Total Cost</t>
  </si>
  <si>
    <t>Cap Remaining ($)</t>
  </si>
  <si>
    <t>2025 FORMULA 1 SEASON — 24 RACES</t>
  </si>
  <si>
    <t>PERFORMANCE BRIDGE — SPEND TO OUTPUT ANALYSIS</t>
  </si>
  <si>
    <t>Links financial allocation to estimated on-track performance outcomes</t>
  </si>
  <si>
    <t>Active Budget ($)</t>
  </si>
  <si>
    <t>Performance Metric</t>
  </si>
  <si>
    <t>Estimated Impact</t>
  </si>
  <si>
    <t>Impact per $10M</t>
  </si>
  <si>
    <t>Performance Score</t>
  </si>
  <si>
    <t>Lap Time Delta (seconds)</t>
  </si>
  <si>
    <t>Parts Reliability Score</t>
  </si>
  <si>
    <t>Pit Stop Success Rate (%)</t>
  </si>
  <si>
    <t>Strategic Execution Score</t>
  </si>
  <si>
    <t>Simulation Accuracy Score</t>
  </si>
  <si>
    <t>Incident Buffer Coverage</t>
  </si>
  <si>
    <t>TOTAL / AVERAGE</t>
  </si>
  <si>
    <t>PERFORMANCE RETURN ON CAP SPEND (PROCS) INDEX</t>
  </si>
  <si>
    <t>Total Budget Deployed</t>
  </si>
  <si>
    <t>Index Interpretation</t>
  </si>
  <si>
    <t>SENSITIVITY ANALYSIS — AERO R&amp;D SPEND SCENARIOS</t>
  </si>
  <si>
    <t>Scenario</t>
  </si>
  <si>
    <t>Aero R&amp;D Budget ($)</t>
  </si>
  <si>
    <t>Lap Time Delta (s)</t>
  </si>
  <si>
    <t>Change vs Base</t>
  </si>
  <si>
    <t>Recommendation</t>
  </si>
  <si>
    <t>Conservative (-$10M)</t>
  </si>
  <si>
    <t>Frees $10M for operations</t>
  </si>
  <si>
    <t>Base (Current)</t>
  </si>
  <si>
    <t>Current allocation</t>
  </si>
  <si>
    <t>Moderate (+$10M)</t>
  </si>
  <si>
    <t>+0.08s lap time gain</t>
  </si>
  <si>
    <t>Aggressive (+$20M)</t>
  </si>
  <si>
    <t>+0.16s but cuts contingency</t>
  </si>
  <si>
    <t>Maximum (+$30M)</t>
  </si>
  <si>
    <t>High risk, low reserve</t>
  </si>
  <si>
    <t>CHAMPIONSHIP POINTS PROJECTION</t>
  </si>
  <si>
    <t>Base Points Projection (season)</t>
  </si>
  <si>
    <t>Aggressive Dev Points Projection</t>
  </si>
  <si>
    <t>Operations Focus Points Projection</t>
  </si>
  <si>
    <t>McLaren Actual 2024 Points</t>
  </si>
  <si>
    <t>Scaling factor based on McLaren 2024 actual result (666 pts)</t>
  </si>
  <si>
    <t>PROCS Impact</t>
  </si>
  <si>
    <t>COMPETITOR BENCHMARKING — 2024 SEASON DATA</t>
  </si>
  <si>
    <t>Estimated budget allocations and efficiency metrics across top 5 constructors</t>
  </si>
  <si>
    <t>Metric</t>
  </si>
  <si>
    <t>McLaren</t>
  </si>
  <si>
    <t>Mercedes</t>
  </si>
  <si>
    <t>Ferrari</t>
  </si>
  <si>
    <t>Aston Martin</t>
  </si>
  <si>
    <t>McLaren Rank</t>
  </si>
  <si>
    <t>ESTIMATED CAP ALLOCATION ($M)</t>
  </si>
  <si>
    <t>IT &amp; Simulation</t>
  </si>
  <si>
    <t>TOTAL CAP SPEND ($M)</t>
  </si>
  <si>
    <t>2024 SEASON PERFORMANCE (ACTUAL)</t>
  </si>
  <si>
    <t>Constructor Points</t>
  </si>
  <si>
    <t>Race Wins</t>
  </si>
  <si>
    <t>Podiums</t>
  </si>
  <si>
    <t>DNF Count</t>
  </si>
  <si>
    <t>EFFICIENCY METRICS (CALCULATED)</t>
  </si>
  <si>
    <t>Points per $M Spent</t>
  </si>
  <si>
    <t>Wins per $10M Spent</t>
  </si>
  <si>
    <t>Reliability Score</t>
  </si>
  <si>
    <t>Aero Investment Ratio (%)</t>
  </si>
  <si>
    <t>McLaren Strategic Position</t>
  </si>
  <si>
    <t>STRATEGIC GAP ANALYSIS — McLAREN vs TOP 2</t>
  </si>
  <si>
    <t>McLaren ($M)</t>
  </si>
  <si>
    <t>Top 2 Average ($M)</t>
  </si>
  <si>
    <t>Gap ($M)</t>
  </si>
  <si>
    <t>Gap (%)</t>
  </si>
  <si>
    <t>Implication</t>
  </si>
  <si>
    <t>Underspending vs rivals — lap time risk</t>
  </si>
  <si>
    <t>Broadly aligned with top 2</t>
  </si>
  <si>
    <t>Overspending — strong operational focus</t>
  </si>
  <si>
    <t>Aligned — no significant gap</t>
  </si>
  <si>
    <t>Underspending — simulation risk</t>
  </si>
  <si>
    <t>Underspending — lower incident buffer</t>
  </si>
  <si>
    <t>Data Sources:</t>
  </si>
  <si>
    <t>Constructor points &amp; results: Formula1.com official 2024 standings. Budget estimates: Motorsport Week, Forbes F1 team value reports, RaceFans financial analysis. McLaren allocation pulls live from Budget Allocator sheet.</t>
  </si>
  <si>
    <t>Red Bull</t>
  </si>
  <si>
    <t>SCENARIO ANALYSIS — THREE-WAY COMPARISON</t>
  </si>
  <si>
    <t>Side-by-side comparison of all three budget scenarios and their projected outcomes</t>
  </si>
  <si>
    <t>METRIC</t>
  </si>
  <si>
    <t>BASE CASE</t>
  </si>
  <si>
    <t>AGGRESSIVE DEV</t>
  </si>
  <si>
    <t>OPERATIONS FOCUS</t>
  </si>
  <si>
    <t>INSIGHT</t>
  </si>
  <si>
    <t>BUDGET ALLOCATION SUMMARY ($M)</t>
  </si>
  <si>
    <t>Red Bull spend ~$58M — McLaren trails in aero</t>
  </si>
  <si>
    <t>All 3 scenarios broadly aligned here</t>
  </si>
  <si>
    <t>Ops Focus commits 2x vs Aggressive Dev</t>
  </si>
  <si>
    <t>Consistent across all 3 — stable priority</t>
  </si>
  <si>
    <t>Minor variation — not a key lever</t>
  </si>
  <si>
    <t>Aggressive Dev cuts reserve to just $3M</t>
  </si>
  <si>
    <t>All scenarios within $135M cap ✓</t>
  </si>
  <si>
    <t>PERFORMANCE PROJECTIONS</t>
  </si>
  <si>
    <t>PROCS Performance Index</t>
  </si>
  <si>
    <t>Projected Championship Points</t>
  </si>
  <si>
    <t>Aero Lap Time Advantage (s)</t>
  </si>
  <si>
    <t>Contingency Reserve ($M)</t>
  </si>
  <si>
    <t>Higher PROCS = better spend efficiency</t>
  </si>
  <si>
    <t>Based on McLaren 2024 scaling factor</t>
  </si>
  <si>
    <t>Aggressive Dev buys ~0.08s extra pace</t>
  </si>
  <si>
    <t>Aggressive Dev reserve critically low</t>
  </si>
  <si>
    <t>RISK ASSESSMENT</t>
  </si>
  <si>
    <t>Development Risk</t>
  </si>
  <si>
    <t>Low</t>
  </si>
  <si>
    <t>High</t>
  </si>
  <si>
    <t>Aero investment drives uncertainty</t>
  </si>
  <si>
    <t>Operational Risk</t>
  </si>
  <si>
    <t>Very Low</t>
  </si>
  <si>
    <t>Low ops budget = logistics vulnerability</t>
  </si>
  <si>
    <t>Reliability Risk</t>
  </si>
  <si>
    <t>Medium</t>
  </si>
  <si>
    <t>Contingency buffer drives this</t>
  </si>
  <si>
    <t>Strategic Flexibility</t>
  </si>
  <si>
    <t>Reserve headroom = flexibility</t>
  </si>
  <si>
    <t>Recommended For</t>
  </si>
  <si>
    <t>Balanced season</t>
  </si>
  <si>
    <t>Title push attempt</t>
  </si>
  <si>
    <t>Street/wet circuits</t>
  </si>
  <si>
    <t>Context dependent</t>
  </si>
  <si>
    <t>SCENARIO RECOMMENDATION</t>
  </si>
  <si>
    <t>Recommended Scenario:</t>
  </si>
  <si>
    <t>Rationale:</t>
  </si>
  <si>
    <t>Base Case offers the strongest balance between performance investment and risk management. Aggressive Development maximises lap time potential but sacrifices contingency reserve to critically low levels ($3M). Operations Focus prioritises reliability — best suited for a mid-season recovery strategy.</t>
  </si>
  <si>
    <t>Active Scenario vs Recommendation:</t>
  </si>
  <si>
    <t>Strategic Financial Analysis | FIA Cost Cap Compliance | Performance Benchmarking</t>
  </si>
  <si>
    <t>Scenario Description:</t>
  </si>
  <si>
    <t>TOTAL CAP ALLOCATED</t>
  </si>
  <si>
    <t>PROCS PERFORMANCE INDEX</t>
  </si>
  <si>
    <t>PROJECTED CHAMPIONSHIP PTS</t>
  </si>
  <si>
    <t>BUDGET ALLOCATION</t>
  </si>
  <si>
    <t>SEASON BURN OVERVIEW</t>
  </si>
  <si>
    <t>COMPETITOR BENCHMARKING</t>
  </si>
  <si>
    <t>Budget ($M)</t>
  </si>
  <si>
    <t>Score</t>
  </si>
  <si>
    <t>2025 SEASON OPERATIONAL COSTS</t>
  </si>
  <si>
    <t>Total Season Est. Spend</t>
  </si>
  <si>
    <t>Sprint Weekends Cost</t>
  </si>
  <si>
    <t>Standard Weekends Cost</t>
  </si>
  <si>
    <t>Projected Headroom</t>
  </si>
  <si>
    <t>BURN RATE SUMMARY</t>
  </si>
  <si>
    <t>Remaining After Ops</t>
  </si>
  <si>
    <t>Ops as % of Cap</t>
  </si>
  <si>
    <t>EFFICIENCY VS RIVALS</t>
  </si>
  <si>
    <t>Points per $M</t>
  </si>
  <si>
    <t>BEST RIVAL</t>
  </si>
  <si>
    <t>McLAREN RANK</t>
  </si>
  <si>
    <t>Wins per $10M</t>
  </si>
  <si>
    <t>STRATEGIC POSITION</t>
  </si>
  <si>
    <t>STRATEGIC GAP vs TOP 2</t>
  </si>
  <si>
    <t>Aero R&amp;D</t>
  </si>
  <si>
    <t>Race Operations</t>
  </si>
  <si>
    <t>EXECUTIVE SUMMARY</t>
  </si>
  <si>
    <t>McLAREN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</si>
</sst>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"/>
    <numFmt numFmtId="165" formatCode="0.0%"/>
    <numFmt numFmtId="166" formatCode="0.0"/>
  </numFmts>
  <fonts count="2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rgb="FF2D2D2D"/>
      <name val="Calibri"/>
      <family val="2"/>
    </font>
    <font>
      <sz val="8"/>
      <name val="Calibri"/>
      <family val="2"/>
    </font>
    <font>
      <b/>
      <sz val="14"/>
      <color rgb="FF2D2D2D"/>
      <name val="Calibri"/>
      <family val="2"/>
    </font>
    <font>
      <sz val="11"/>
      <color rgb="FF2D2D2D"/>
      <name val="Calibri"/>
      <family val="2"/>
    </font>
    <font>
      <b/>
      <sz val="14"/>
      <color theme="0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 tint="0.249977111117893"/>
      <name val="Calibri"/>
      <family val="2"/>
    </font>
    <font>
      <i/>
      <sz val="9"/>
      <color theme="1" tint="0.249977111117893"/>
      <name val="Calibri"/>
      <family val="2"/>
    </font>
    <font>
      <b/>
      <sz val="16"/>
      <color theme="1"/>
      <name val="Calibri"/>
      <family val="2"/>
    </font>
    <font>
      <b/>
      <sz val="18"/>
      <color rgb="FF2D2D2D"/>
      <name val="Calibri"/>
      <family val="2"/>
    </font>
    <font>
      <i/>
      <sz val="10"/>
      <color theme="0"/>
      <name val="Calibri"/>
      <family val="2"/>
    </font>
    <font>
      <i/>
      <sz val="11"/>
      <color theme="0"/>
      <name val="Calibri"/>
      <family val="2"/>
    </font>
    <font>
      <b/>
      <sz val="9"/>
      <color theme="1"/>
      <name val="Calibri"/>
      <family val="2"/>
    </font>
    <font>
      <sz val="9"/>
      <color theme="1" tint="0.249977111117893"/>
      <name val="Calibri"/>
      <family val="2"/>
    </font>
    <font>
      <b/>
      <sz val="22"/>
      <color theme="1"/>
      <name val="Calibri"/>
      <family val="2"/>
    </font>
    <font>
      <b/>
      <sz val="22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8000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FFF0D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5" fillId="2" borderId="0" xfId="0" applyFont="1" applyFill="1"/>
    <xf numFmtId="0" fontId="8" fillId="2" borderId="0" xfId="0" applyFont="1" applyFill="1"/>
    <xf numFmtId="0" fontId="8" fillId="3" borderId="0" xfId="0" applyFont="1" applyFill="1"/>
    <xf numFmtId="0" fontId="4" fillId="3" borderId="0" xfId="0" applyFont="1" applyFill="1"/>
    <xf numFmtId="0" fontId="2" fillId="3" borderId="9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 wrapText="1"/>
    </xf>
    <xf numFmtId="164" fontId="0" fillId="5" borderId="0" xfId="0" applyNumberFormat="1" applyFill="1" applyAlignment="1">
      <alignment horizontal="center" vertical="center" wrapText="1"/>
    </xf>
    <xf numFmtId="164" fontId="0" fillId="6" borderId="0" xfId="0" applyNumberForma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164" fontId="3" fillId="8" borderId="4" xfId="0" applyNumberFormat="1" applyFont="1" applyFill="1" applyBorder="1" applyAlignment="1">
      <alignment horizontal="center" vertical="center" wrapText="1"/>
    </xf>
    <xf numFmtId="165" fontId="3" fillId="8" borderId="4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3" borderId="0" xfId="0" applyFont="1" applyFill="1"/>
    <xf numFmtId="0" fontId="2" fillId="3" borderId="1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6" fontId="0" fillId="0" borderId="6" xfId="0" applyNumberForma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166" fontId="0" fillId="0" borderId="10" xfId="0" applyNumberForma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166" fontId="0" fillId="0" borderId="13" xfId="0" applyNumberForma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10" borderId="0" xfId="0" applyFill="1"/>
    <xf numFmtId="0" fontId="2" fillId="3" borderId="0" xfId="0" applyFont="1" applyFill="1" applyAlignment="1">
      <alignment horizontal="center" vertical="center" wrapText="1"/>
    </xf>
    <xf numFmtId="0" fontId="17" fillId="3" borderId="0" xfId="0" applyFont="1" applyFill="1"/>
    <xf numFmtId="0" fontId="13" fillId="0" borderId="0" xfId="0" applyFont="1" applyAlignment="1">
      <alignment horizontal="right" vertical="center"/>
    </xf>
    <xf numFmtId="0" fontId="0" fillId="0" borderId="5" xfId="0" applyBorder="1"/>
    <xf numFmtId="166" fontId="0" fillId="0" borderId="0" xfId="0" applyNumberFormat="1"/>
    <xf numFmtId="0" fontId="0" fillId="0" borderId="6" xfId="0" applyBorder="1" applyAlignment="1">
      <alignment horizontal="center"/>
    </xf>
    <xf numFmtId="0" fontId="0" fillId="0" borderId="7" xfId="0" applyBorder="1"/>
    <xf numFmtId="166" fontId="0" fillId="0" borderId="3" xfId="0" applyNumberFormat="1" applyBorder="1"/>
    <xf numFmtId="0" fontId="0" fillId="0" borderId="14" xfId="0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10" borderId="1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0" xfId="0" applyNumberFormat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" fontId="21" fillId="3" borderId="1" xfId="0" applyNumberFormat="1" applyFont="1" applyFill="1" applyBorder="1" applyAlignment="1">
      <alignment horizontal="center" vertical="center"/>
    </xf>
    <xf numFmtId="164" fontId="20" fillId="2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17" fillId="3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8"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2F2F2"/>
        </patternFill>
      </fill>
    </dxf>
    <dxf>
      <fill>
        <patternFill>
          <bgColor rgb="FFFFF3E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8000"/>
      <color rgb="FF2D2D2D"/>
      <color rgb="FFFFF0D0"/>
      <color rgb="FFD9D9D9"/>
      <color rgb="FFFFF3E0"/>
      <color rgb="FFF2F2F2"/>
      <color rgb="FFE5FFE5"/>
      <color rgb="FFFFE5E5"/>
      <color rgb="FFDDE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Season Burn Curve vs Cap Ceiling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'Burn Tracker'!$F$4:$F$27</c:f>
              <c:numCache>
                <c:formatCode>[$$-409]#,##0</c:formatCode>
                <c:ptCount val="24"/>
                <c:pt idx="0">
                  <c:v>2200000</c:v>
                </c:pt>
                <c:pt idx="1">
                  <c:v>4800000</c:v>
                </c:pt>
                <c:pt idx="2">
                  <c:v>7000000</c:v>
                </c:pt>
                <c:pt idx="3">
                  <c:v>9200000</c:v>
                </c:pt>
                <c:pt idx="4">
                  <c:v>11400000</c:v>
                </c:pt>
                <c:pt idx="5">
                  <c:v>14000000</c:v>
                </c:pt>
                <c:pt idx="6">
                  <c:v>15600000</c:v>
                </c:pt>
                <c:pt idx="7">
                  <c:v>17200000</c:v>
                </c:pt>
                <c:pt idx="8">
                  <c:v>18800000</c:v>
                </c:pt>
                <c:pt idx="9">
                  <c:v>21000000</c:v>
                </c:pt>
                <c:pt idx="10">
                  <c:v>22600000</c:v>
                </c:pt>
                <c:pt idx="11">
                  <c:v>24200000</c:v>
                </c:pt>
                <c:pt idx="12">
                  <c:v>25800000</c:v>
                </c:pt>
                <c:pt idx="13">
                  <c:v>27400000</c:v>
                </c:pt>
                <c:pt idx="14">
                  <c:v>29000000</c:v>
                </c:pt>
                <c:pt idx="15">
                  <c:v>30600000</c:v>
                </c:pt>
                <c:pt idx="16">
                  <c:v>32800000</c:v>
                </c:pt>
                <c:pt idx="17">
                  <c:v>35000000</c:v>
                </c:pt>
                <c:pt idx="18">
                  <c:v>37600000</c:v>
                </c:pt>
                <c:pt idx="19">
                  <c:v>39800000</c:v>
                </c:pt>
                <c:pt idx="20">
                  <c:v>42400000</c:v>
                </c:pt>
                <c:pt idx="21">
                  <c:v>44600000</c:v>
                </c:pt>
                <c:pt idx="22">
                  <c:v>47200000</c:v>
                </c:pt>
                <c:pt idx="23">
                  <c:v>49400000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3-4128-9BE6-0CA4AFD8B315}"/>
            </c:ext>
          </c:extLst>
        </c:ser>
        <c:ser>
          <c:idx val="3"/>
          <c:order val="1"/>
          <c:tx>
            <c:v>Cap Limit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'Burn Tracker'!$K$4:$K$27</c:f>
              <c:numCache>
                <c:formatCode>General</c:formatCode>
                <c:ptCount val="24"/>
                <c:pt idx="0">
                  <c:v>135000000</c:v>
                </c:pt>
                <c:pt idx="1">
                  <c:v>135000000</c:v>
                </c:pt>
                <c:pt idx="2">
                  <c:v>135000000</c:v>
                </c:pt>
                <c:pt idx="3">
                  <c:v>135000000</c:v>
                </c:pt>
                <c:pt idx="4">
                  <c:v>135000000</c:v>
                </c:pt>
                <c:pt idx="5">
                  <c:v>135000000</c:v>
                </c:pt>
                <c:pt idx="6">
                  <c:v>135000000</c:v>
                </c:pt>
                <c:pt idx="7">
                  <c:v>135000000</c:v>
                </c:pt>
                <c:pt idx="8">
                  <c:v>135000000</c:v>
                </c:pt>
                <c:pt idx="9">
                  <c:v>135000000</c:v>
                </c:pt>
                <c:pt idx="10">
                  <c:v>135000000</c:v>
                </c:pt>
                <c:pt idx="11">
                  <c:v>135000000</c:v>
                </c:pt>
                <c:pt idx="12">
                  <c:v>135000000</c:v>
                </c:pt>
                <c:pt idx="13">
                  <c:v>135000000</c:v>
                </c:pt>
                <c:pt idx="14">
                  <c:v>135000000</c:v>
                </c:pt>
                <c:pt idx="15">
                  <c:v>135000000</c:v>
                </c:pt>
                <c:pt idx="16">
                  <c:v>135000000</c:v>
                </c:pt>
                <c:pt idx="17">
                  <c:v>135000000</c:v>
                </c:pt>
                <c:pt idx="18">
                  <c:v>135000000</c:v>
                </c:pt>
                <c:pt idx="19">
                  <c:v>135000000</c:v>
                </c:pt>
                <c:pt idx="20">
                  <c:v>135000000</c:v>
                </c:pt>
                <c:pt idx="21">
                  <c:v>135000000</c:v>
                </c:pt>
                <c:pt idx="22">
                  <c:v>135000000</c:v>
                </c:pt>
                <c:pt idx="23">
                  <c:v>135000000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C3-4128-9BE6-0CA4AFD8B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219135"/>
        <c:axId val="1477221535"/>
      </c:lineChart>
      <c:catAx>
        <c:axId val="1477219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221535"/>
        <c:crosses val="autoZero"/>
        <c:auto val="1"/>
        <c:lblAlgn val="ctr"/>
        <c:lblOffset val="100"/>
        <c:noMultiLvlLbl val="0"/>
      </c:catAx>
      <c:valAx>
        <c:axId val="147722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2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Efficiency Metrics — Top 5 Constructors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McLaren</c:v>
          </c:tx>
          <c:spPr>
            <a:solidFill>
              <a:srgbClr val="FF8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Benchmarking!$A$21:$A$23</c:f>
              <c:strCache>
                <c:ptCount val="3"/>
                <c:pt idx="0">
                  <c:v>Points per $M Spent</c:v>
                </c:pt>
                <c:pt idx="1">
                  <c:v>Wins per $10M Spent</c:v>
                </c:pt>
                <c:pt idx="2">
                  <c:v>Reliability Score</c:v>
                </c:pt>
              </c:strCache>
            </c:strRef>
          </c:cat>
          <c:val>
            <c:numRef>
              <c:f>Benchmarking!$B$21:$B$23</c:f>
              <c:numCache>
                <c:formatCode>General</c:formatCode>
                <c:ptCount val="3"/>
                <c:pt idx="0">
                  <c:v>5.0999999999999996</c:v>
                </c:pt>
                <c:pt idx="1">
                  <c:v>0.46</c:v>
                </c:pt>
                <c:pt idx="2">
                  <c:v>66.7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D-4471-9268-86A3584BF390}"/>
            </c:ext>
          </c:extLst>
        </c:ser>
        <c:ser>
          <c:idx val="1"/>
          <c:order val="1"/>
          <c:tx>
            <c:v>Red Bull</c:v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Benchmarking!$A$21:$A$23</c:f>
              <c:strCache>
                <c:ptCount val="3"/>
                <c:pt idx="0">
                  <c:v>Points per $M Spent</c:v>
                </c:pt>
                <c:pt idx="1">
                  <c:v>Wins per $10M Spent</c:v>
                </c:pt>
                <c:pt idx="2">
                  <c:v>Reliability Score</c:v>
                </c:pt>
              </c:strCache>
            </c:strRef>
          </c:cat>
          <c:val>
            <c:numRef>
              <c:f>Benchmarking!$C$21:$C$23</c:f>
              <c:numCache>
                <c:formatCode>General</c:formatCode>
                <c:ptCount val="3"/>
                <c:pt idx="0">
                  <c:v>4.4000000000000004</c:v>
                </c:pt>
                <c:pt idx="1">
                  <c:v>0.59</c:v>
                </c:pt>
                <c:pt idx="2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7D-4471-9268-86A3584BF390}"/>
            </c:ext>
          </c:extLst>
        </c:ser>
        <c:ser>
          <c:idx val="2"/>
          <c:order val="2"/>
          <c:tx>
            <c:v>Mercedes</c:v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Benchmarking!$A$21:$A$23</c:f>
              <c:strCache>
                <c:ptCount val="3"/>
                <c:pt idx="0">
                  <c:v>Points per $M Spent</c:v>
                </c:pt>
                <c:pt idx="1">
                  <c:v>Wins per $10M Spent</c:v>
                </c:pt>
                <c:pt idx="2">
                  <c:v>Reliability Score</c:v>
                </c:pt>
              </c:strCache>
            </c:strRef>
          </c:cat>
          <c:val>
            <c:numRef>
              <c:f>Benchmarking!$D$21:$D$23</c:f>
              <c:numCache>
                <c:formatCode>General</c:formatCode>
                <c:ptCount val="3"/>
                <c:pt idx="0">
                  <c:v>3.5</c:v>
                </c:pt>
                <c:pt idx="1">
                  <c:v>0.3</c:v>
                </c:pt>
                <c:pt idx="2">
                  <c:v>54.2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7D-4471-9268-86A3584BF390}"/>
            </c:ext>
          </c:extLst>
        </c:ser>
        <c:ser>
          <c:idx val="3"/>
          <c:order val="3"/>
          <c:tx>
            <c:v>Ferrari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Benchmarking!$A$21:$A$23</c:f>
              <c:strCache>
                <c:ptCount val="3"/>
                <c:pt idx="0">
                  <c:v>Points per $M Spent</c:v>
                </c:pt>
                <c:pt idx="1">
                  <c:v>Wins per $10M Spent</c:v>
                </c:pt>
                <c:pt idx="2">
                  <c:v>Reliability Score</c:v>
                </c:pt>
              </c:strCache>
            </c:strRef>
          </c:cat>
          <c:val>
            <c:numRef>
              <c:f>Benchmarking!$E$21:$E$23</c:f>
              <c:numCache>
                <c:formatCode>General</c:formatCode>
                <c:ptCount val="3"/>
                <c:pt idx="0">
                  <c:v>4.8</c:v>
                </c:pt>
                <c:pt idx="1">
                  <c:v>0.37</c:v>
                </c:pt>
                <c:pt idx="2">
                  <c:v>58.3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7D-4471-9268-86A3584BF390}"/>
            </c:ext>
          </c:extLst>
        </c:ser>
        <c:ser>
          <c:idx val="4"/>
          <c:order val="4"/>
          <c:tx>
            <c:v>Aston Martin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Benchmarking!$A$21:$A$23</c:f>
              <c:strCache>
                <c:ptCount val="3"/>
                <c:pt idx="0">
                  <c:v>Points per $M Spent</c:v>
                </c:pt>
                <c:pt idx="1">
                  <c:v>Wins per $10M Spent</c:v>
                </c:pt>
                <c:pt idx="2">
                  <c:v>Reliability Score</c:v>
                </c:pt>
              </c:strCache>
            </c:strRef>
          </c:cat>
          <c:val>
            <c:numRef>
              <c:f>Benchmarking!$F$21:$F$23</c:f>
              <c:numCache>
                <c:formatCode>General</c:formatCode>
                <c:ptCount val="3"/>
                <c:pt idx="0">
                  <c:v>0.9</c:v>
                </c:pt>
                <c:pt idx="1">
                  <c:v>0</c:v>
                </c:pt>
                <c:pt idx="2">
                  <c:v>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7D-4471-9268-86A3584BF3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6268479"/>
        <c:axId val="1086285279"/>
      </c:barChart>
      <c:catAx>
        <c:axId val="1086268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85279"/>
        <c:crosses val="autoZero"/>
        <c:auto val="1"/>
        <c:lblAlgn val="ctr"/>
        <c:lblOffset val="100"/>
        <c:noMultiLvlLbl val="0"/>
      </c:catAx>
      <c:valAx>
        <c:axId val="108628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6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Competitor Efficiency Radar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Benchmarking!$A$21</c:f>
              <c:strCache>
                <c:ptCount val="1"/>
                <c:pt idx="0">
                  <c:v>Points per $M Spent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Benchmarking!$B$21:$F$21</c:f>
              <c:numCache>
                <c:formatCode>General</c:formatCode>
                <c:ptCount val="5"/>
                <c:pt idx="0">
                  <c:v>5.0999999999999996</c:v>
                </c:pt>
                <c:pt idx="1">
                  <c:v>4.4000000000000004</c:v>
                </c:pt>
                <c:pt idx="2">
                  <c:v>3.5</c:v>
                </c:pt>
                <c:pt idx="3">
                  <c:v>4.8</c:v>
                </c:pt>
                <c:pt idx="4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4-497B-B50C-F1365D9571FC}"/>
            </c:ext>
          </c:extLst>
        </c:ser>
        <c:ser>
          <c:idx val="1"/>
          <c:order val="1"/>
          <c:tx>
            <c:strRef>
              <c:f>Benchmarking!$A$22</c:f>
              <c:strCache>
                <c:ptCount val="1"/>
                <c:pt idx="0">
                  <c:v>Wins per $10M Spent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Benchmarking!$B$22:$F$22</c:f>
              <c:numCache>
                <c:formatCode>General</c:formatCode>
                <c:ptCount val="5"/>
                <c:pt idx="0">
                  <c:v>0.46</c:v>
                </c:pt>
                <c:pt idx="1">
                  <c:v>0.59</c:v>
                </c:pt>
                <c:pt idx="2">
                  <c:v>0.3</c:v>
                </c:pt>
                <c:pt idx="3">
                  <c:v>0.37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C4-497B-B50C-F1365D9571FC}"/>
            </c:ext>
          </c:extLst>
        </c:ser>
        <c:ser>
          <c:idx val="2"/>
          <c:order val="2"/>
          <c:tx>
            <c:strRef>
              <c:f>Benchmarking!$A$23</c:f>
              <c:strCache>
                <c:ptCount val="1"/>
                <c:pt idx="0">
                  <c:v>Reliability Score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Benchmarking!$B$23:$F$23</c:f>
              <c:numCache>
                <c:formatCode>General</c:formatCode>
                <c:ptCount val="5"/>
                <c:pt idx="0">
                  <c:v>66.7</c:v>
                </c:pt>
                <c:pt idx="1">
                  <c:v>62.5</c:v>
                </c:pt>
                <c:pt idx="2">
                  <c:v>54.2</c:v>
                </c:pt>
                <c:pt idx="3">
                  <c:v>58.3</c:v>
                </c:pt>
                <c:pt idx="4">
                  <c:v>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C4-497B-B50C-F1365D9571FC}"/>
            </c:ext>
          </c:extLst>
        </c:ser>
        <c:ser>
          <c:idx val="3"/>
          <c:order val="3"/>
          <c:tx>
            <c:strRef>
              <c:f>Benchmarking!$A$24</c:f>
              <c:strCache>
                <c:ptCount val="1"/>
                <c:pt idx="0">
                  <c:v>Aero Investment Ratio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Benchmarking!$B$24:$F$24</c:f>
              <c:numCache>
                <c:formatCode>General</c:formatCode>
                <c:ptCount val="5"/>
                <c:pt idx="0">
                  <c:v>32.299999999999997</c:v>
                </c:pt>
                <c:pt idx="1">
                  <c:v>43</c:v>
                </c:pt>
                <c:pt idx="2">
                  <c:v>37</c:v>
                </c:pt>
                <c:pt idx="3">
                  <c:v>40.700000000000003</c:v>
                </c:pt>
                <c:pt idx="4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C4-497B-B50C-F1365D957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72671"/>
        <c:axId val="184375551"/>
      </c:radarChart>
      <c:catAx>
        <c:axId val="184372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75551"/>
        <c:crosses val="autoZero"/>
        <c:auto val="1"/>
        <c:lblAlgn val="ctr"/>
        <c:lblOffset val="100"/>
        <c:noMultiLvlLbl val="0"/>
      </c:catAx>
      <c:valAx>
        <c:axId val="18437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7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Efficiency Metrics — Top 5 Constructors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McLaren</c:v>
          </c:tx>
          <c:spPr>
            <a:solidFill>
              <a:srgbClr val="FF8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Benchmarking!$A$21:$A$23</c:f>
              <c:strCache>
                <c:ptCount val="3"/>
                <c:pt idx="0">
                  <c:v>Points per $M Spent</c:v>
                </c:pt>
                <c:pt idx="1">
                  <c:v>Wins per $10M Spent</c:v>
                </c:pt>
                <c:pt idx="2">
                  <c:v>Reliability Score</c:v>
                </c:pt>
              </c:strCache>
            </c:strRef>
          </c:cat>
          <c:val>
            <c:numRef>
              <c:f>Benchmarking!$B$21:$B$23</c:f>
              <c:numCache>
                <c:formatCode>General</c:formatCode>
                <c:ptCount val="3"/>
                <c:pt idx="0">
                  <c:v>5.0999999999999996</c:v>
                </c:pt>
                <c:pt idx="1">
                  <c:v>0.46</c:v>
                </c:pt>
                <c:pt idx="2">
                  <c:v>66.7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D-4FA2-AE19-A5D0B80CCD89}"/>
            </c:ext>
          </c:extLst>
        </c:ser>
        <c:ser>
          <c:idx val="1"/>
          <c:order val="1"/>
          <c:tx>
            <c:v>Red Bull</c:v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Benchmarking!$A$21:$A$23</c:f>
              <c:strCache>
                <c:ptCount val="3"/>
                <c:pt idx="0">
                  <c:v>Points per $M Spent</c:v>
                </c:pt>
                <c:pt idx="1">
                  <c:v>Wins per $10M Spent</c:v>
                </c:pt>
                <c:pt idx="2">
                  <c:v>Reliability Score</c:v>
                </c:pt>
              </c:strCache>
            </c:strRef>
          </c:cat>
          <c:val>
            <c:numRef>
              <c:f>Benchmarking!$C$21:$C$23</c:f>
              <c:numCache>
                <c:formatCode>General</c:formatCode>
                <c:ptCount val="3"/>
                <c:pt idx="0">
                  <c:v>4.4000000000000004</c:v>
                </c:pt>
                <c:pt idx="1">
                  <c:v>0.59</c:v>
                </c:pt>
                <c:pt idx="2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3D-4FA2-AE19-A5D0B80CCD89}"/>
            </c:ext>
          </c:extLst>
        </c:ser>
        <c:ser>
          <c:idx val="2"/>
          <c:order val="2"/>
          <c:tx>
            <c:v>Mercedes</c:v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Benchmarking!$A$21:$A$23</c:f>
              <c:strCache>
                <c:ptCount val="3"/>
                <c:pt idx="0">
                  <c:v>Points per $M Spent</c:v>
                </c:pt>
                <c:pt idx="1">
                  <c:v>Wins per $10M Spent</c:v>
                </c:pt>
                <c:pt idx="2">
                  <c:v>Reliability Score</c:v>
                </c:pt>
              </c:strCache>
            </c:strRef>
          </c:cat>
          <c:val>
            <c:numRef>
              <c:f>Benchmarking!$D$21:$D$23</c:f>
              <c:numCache>
                <c:formatCode>General</c:formatCode>
                <c:ptCount val="3"/>
                <c:pt idx="0">
                  <c:v>3.5</c:v>
                </c:pt>
                <c:pt idx="1">
                  <c:v>0.3</c:v>
                </c:pt>
                <c:pt idx="2">
                  <c:v>54.2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3D-4FA2-AE19-A5D0B80CCD89}"/>
            </c:ext>
          </c:extLst>
        </c:ser>
        <c:ser>
          <c:idx val="3"/>
          <c:order val="3"/>
          <c:tx>
            <c:v>Ferrari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Benchmarking!$A$21:$A$23</c:f>
              <c:strCache>
                <c:ptCount val="3"/>
                <c:pt idx="0">
                  <c:v>Points per $M Spent</c:v>
                </c:pt>
                <c:pt idx="1">
                  <c:v>Wins per $10M Spent</c:v>
                </c:pt>
                <c:pt idx="2">
                  <c:v>Reliability Score</c:v>
                </c:pt>
              </c:strCache>
            </c:strRef>
          </c:cat>
          <c:val>
            <c:numRef>
              <c:f>Benchmarking!$E$21:$E$23</c:f>
              <c:numCache>
                <c:formatCode>General</c:formatCode>
                <c:ptCount val="3"/>
                <c:pt idx="0">
                  <c:v>4.8</c:v>
                </c:pt>
                <c:pt idx="1">
                  <c:v>0.37</c:v>
                </c:pt>
                <c:pt idx="2">
                  <c:v>58.3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3D-4FA2-AE19-A5D0B80CCD89}"/>
            </c:ext>
          </c:extLst>
        </c:ser>
        <c:ser>
          <c:idx val="4"/>
          <c:order val="4"/>
          <c:tx>
            <c:v>Aston Martin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Benchmarking!$A$21:$A$23</c:f>
              <c:strCache>
                <c:ptCount val="3"/>
                <c:pt idx="0">
                  <c:v>Points per $M Spent</c:v>
                </c:pt>
                <c:pt idx="1">
                  <c:v>Wins per $10M Spent</c:v>
                </c:pt>
                <c:pt idx="2">
                  <c:v>Reliability Score</c:v>
                </c:pt>
              </c:strCache>
            </c:strRef>
          </c:cat>
          <c:val>
            <c:numRef>
              <c:f>Benchmarking!$F$21:$F$23</c:f>
              <c:numCache>
                <c:formatCode>General</c:formatCode>
                <c:ptCount val="3"/>
                <c:pt idx="0">
                  <c:v>0.9</c:v>
                </c:pt>
                <c:pt idx="1">
                  <c:v>0</c:v>
                </c:pt>
                <c:pt idx="2">
                  <c:v>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3D-4FA2-AE19-A5D0B80CCD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6268479"/>
        <c:axId val="1086285279"/>
      </c:barChart>
      <c:catAx>
        <c:axId val="1086268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85279"/>
        <c:crosses val="autoZero"/>
        <c:auto val="1"/>
        <c:lblAlgn val="ctr"/>
        <c:lblOffset val="100"/>
        <c:noMultiLvlLbl val="0"/>
      </c:catAx>
      <c:valAx>
        <c:axId val="108628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6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Competitor Efficiency Radar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Benchmarking!$A$21</c:f>
              <c:strCache>
                <c:ptCount val="1"/>
                <c:pt idx="0">
                  <c:v>Points per $M Spent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Benchmarking!$B$21:$F$21</c:f>
              <c:numCache>
                <c:formatCode>General</c:formatCode>
                <c:ptCount val="5"/>
                <c:pt idx="0">
                  <c:v>5.0999999999999996</c:v>
                </c:pt>
                <c:pt idx="1">
                  <c:v>4.4000000000000004</c:v>
                </c:pt>
                <c:pt idx="2">
                  <c:v>3.5</c:v>
                </c:pt>
                <c:pt idx="3">
                  <c:v>4.8</c:v>
                </c:pt>
                <c:pt idx="4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3-44D3-A239-2628FD6F81D2}"/>
            </c:ext>
          </c:extLst>
        </c:ser>
        <c:ser>
          <c:idx val="1"/>
          <c:order val="1"/>
          <c:tx>
            <c:strRef>
              <c:f>Benchmarking!$A$22</c:f>
              <c:strCache>
                <c:ptCount val="1"/>
                <c:pt idx="0">
                  <c:v>Wins per $10M Spent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Benchmarking!$B$22:$F$22</c:f>
              <c:numCache>
                <c:formatCode>General</c:formatCode>
                <c:ptCount val="5"/>
                <c:pt idx="0">
                  <c:v>0.46</c:v>
                </c:pt>
                <c:pt idx="1">
                  <c:v>0.59</c:v>
                </c:pt>
                <c:pt idx="2">
                  <c:v>0.3</c:v>
                </c:pt>
                <c:pt idx="3">
                  <c:v>0.37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33-44D3-A239-2628FD6F81D2}"/>
            </c:ext>
          </c:extLst>
        </c:ser>
        <c:ser>
          <c:idx val="2"/>
          <c:order val="2"/>
          <c:tx>
            <c:strRef>
              <c:f>Benchmarking!$A$23</c:f>
              <c:strCache>
                <c:ptCount val="1"/>
                <c:pt idx="0">
                  <c:v>Reliability Score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Benchmarking!$B$23:$F$23</c:f>
              <c:numCache>
                <c:formatCode>General</c:formatCode>
                <c:ptCount val="5"/>
                <c:pt idx="0">
                  <c:v>66.7</c:v>
                </c:pt>
                <c:pt idx="1">
                  <c:v>62.5</c:v>
                </c:pt>
                <c:pt idx="2">
                  <c:v>54.2</c:v>
                </c:pt>
                <c:pt idx="3">
                  <c:v>58.3</c:v>
                </c:pt>
                <c:pt idx="4">
                  <c:v>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33-44D3-A239-2628FD6F81D2}"/>
            </c:ext>
          </c:extLst>
        </c:ser>
        <c:ser>
          <c:idx val="3"/>
          <c:order val="3"/>
          <c:tx>
            <c:strRef>
              <c:f>Benchmarking!$A$24</c:f>
              <c:strCache>
                <c:ptCount val="1"/>
                <c:pt idx="0">
                  <c:v>Aero Investment Ratio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Benchmarking!$B$24:$F$24</c:f>
              <c:numCache>
                <c:formatCode>General</c:formatCode>
                <c:ptCount val="5"/>
                <c:pt idx="0">
                  <c:v>32.299999999999997</c:v>
                </c:pt>
                <c:pt idx="1">
                  <c:v>43</c:v>
                </c:pt>
                <c:pt idx="2">
                  <c:v>37</c:v>
                </c:pt>
                <c:pt idx="3">
                  <c:v>40.700000000000003</c:v>
                </c:pt>
                <c:pt idx="4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33-44D3-A239-2628FD6F8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72671"/>
        <c:axId val="184375551"/>
      </c:radarChart>
      <c:catAx>
        <c:axId val="184372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75551"/>
        <c:crosses val="autoZero"/>
        <c:auto val="1"/>
        <c:lblAlgn val="ctr"/>
        <c:lblOffset val="100"/>
        <c:noMultiLvlLbl val="0"/>
      </c:catAx>
      <c:valAx>
        <c:axId val="18437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7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Active Budget Allocation — $M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waterfall" uniqueId="{DA811A91-C257-48AD-B3CB-4235F2B3BF34}">
          <cx:spPr>
            <a:solidFill>
              <a:srgbClr val="FF8000"/>
            </a:solidFill>
          </cx:spPr>
          <cx:dataPt idx="6">
            <cx:spPr>
              <a:solidFill>
                <a:srgbClr val="2D2D2D"/>
              </a:solidFill>
            </cx:spPr>
          </cx:dataPt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  <cx:fmtOvrs>
    <cx:fmtOvr idx="2">
      <cx:spPr>
        <a:solidFill>
          <a:srgbClr val="2D2D2D"/>
        </a:solidFill>
      </cx:spPr>
    </cx:fmtOvr>
  </cx:fmtOvr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</cx:strDim>
      <cx:numDim type="val">
        <cx:f>_xlchart.v5.3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Active Budget Allocation — $M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waterfall" uniqueId="{DA811A91-C257-48AD-B3CB-4235F2B3BF34}">
          <cx:spPr>
            <a:solidFill>
              <a:srgbClr val="FF8000"/>
            </a:solidFill>
          </cx:spPr>
          <cx:dataPt idx="6">
            <cx:spPr>
              <a:solidFill>
                <a:srgbClr val="2D2D2D"/>
              </a:solidFill>
            </cx:spPr>
          </cx:dataPt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  <cx:fmtOvrs>
    <cx:fmtOvr idx="2">
      <cx:spPr>
        <a:solidFill>
          <a:srgbClr val="2D2D2D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41274</xdr:colOff>
      <xdr:row>15</xdr:row>
      <xdr:rowOff>180974</xdr:rowOff>
    </xdr:from>
    <xdr:to>
      <xdr:col>6</xdr:col>
      <xdr:colOff>1289049</xdr:colOff>
      <xdr:row>36</xdr:row>
      <xdr:rowOff>6349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DBDE712-A30B-E34E-CE82-E29A95B87A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274" y="3952874"/>
              <a:ext cx="9407525" cy="3692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460374</xdr:colOff>
      <xdr:row>29</xdr:row>
      <xdr:rowOff>6350</xdr:rowOff>
    </xdr:from>
    <xdr:to>
      <xdr:col>8</xdr:col>
      <xdr:colOff>615949</xdr:colOff>
      <xdr:row>46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E39920-C70E-9606-D61B-C3761235A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34924</xdr:colOff>
      <xdr:row>39</xdr:row>
      <xdr:rowOff>9524</xdr:rowOff>
    </xdr:from>
    <xdr:to>
      <xdr:col>6</xdr:col>
      <xdr:colOff>12699</xdr:colOff>
      <xdr:row>58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738647-1C6B-2C08-3627-8C9EFD019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28574</xdr:colOff>
      <xdr:row>59</xdr:row>
      <xdr:rowOff>117474</xdr:rowOff>
    </xdr:from>
    <xdr:to>
      <xdr:col>6</xdr:col>
      <xdr:colOff>44449</xdr:colOff>
      <xdr:row>80</xdr:row>
      <xdr:rowOff>107949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F63065-F673-D9CF-4383-4B9C0313E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10</xdr:col>
      <xdr:colOff>552803</xdr:colOff>
      <xdr:row>51</xdr:row>
      <xdr:rowOff>23636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C346B3B-C497-4017-9A9B-D53609FF04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699750"/>
              <a:ext cx="9411053" cy="37066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52</xdr:row>
      <xdr:rowOff>0</xdr:rowOff>
    </xdr:from>
    <xdr:to>
      <xdr:col>9</xdr:col>
      <xdr:colOff>513997</xdr:colOff>
      <xdr:row>71</xdr:row>
      <xdr:rowOff>175330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A803B9-0EDB-4937-BC36-D99B542CC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73</xdr:row>
      <xdr:rowOff>0</xdr:rowOff>
    </xdr:from>
    <xdr:to>
      <xdr:col>9</xdr:col>
      <xdr:colOff>552097</xdr:colOff>
      <xdr:row>94</xdr:row>
      <xdr:rowOff>5292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58EE91-0CEF-4635-9C15-C278B76CB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3867-8730-4807-917E-CCF11510CF78}">
  <sheetPr>
    <pageSetUpPr fitToPage="1"/>
  </sheetPr>
  <dimension ref="A1:C45"/>
  <sheetViews>
    <sheetView tabSelected="1" workbookViewId="0">
      <pane ySplit="2" topLeftCell="A4" activePane="bottomLeft" state="frozen"/>
      <selection pane="bottomLeft" activeCell="A2" sqref="A2"/>
    </sheetView>
  </sheetViews>
  <sheetFormatPr defaultRowHeight="14.5" x14ac:dyDescent="0.35"/>
  <cols>
    <col min="1" max="1" width="30.6328125" customWidth="1"/>
    <col min="2" max="2" width="25.6328125" customWidth="1"/>
    <col min="3" max="3" width="20.6328125" customWidth="1"/>
  </cols>
  <sheetData>
    <row r="1" spans="1:3" s="3" customFormat="1" ht="18.5" x14ac:dyDescent="0.35">
      <c r="A1" s="93" t="s">
        <v>54</v>
      </c>
      <c r="B1" s="93"/>
      <c r="C1" s="93"/>
    </row>
    <row r="2" spans="1:3" s="1" customFormat="1" x14ac:dyDescent="0.35">
      <c r="A2" s="38" t="s">
        <v>0</v>
      </c>
      <c r="B2" s="38" t="s">
        <v>1</v>
      </c>
      <c r="C2" s="38" t="s">
        <v>2</v>
      </c>
    </row>
    <row r="3" spans="1:3" x14ac:dyDescent="0.35">
      <c r="A3" s="32"/>
      <c r="B3" s="32"/>
      <c r="C3" s="32"/>
    </row>
    <row r="4" spans="1:3" x14ac:dyDescent="0.35">
      <c r="A4" s="39" t="s">
        <v>3</v>
      </c>
      <c r="B4" s="40">
        <v>135000000</v>
      </c>
      <c r="C4" s="39" t="s">
        <v>55</v>
      </c>
    </row>
    <row r="5" spans="1:3" ht="29" x14ac:dyDescent="0.35">
      <c r="A5" s="39" t="s">
        <v>4</v>
      </c>
      <c r="B5" s="41">
        <v>0.03</v>
      </c>
      <c r="C5" s="39" t="s">
        <v>9</v>
      </c>
    </row>
    <row r="6" spans="1:3" x14ac:dyDescent="0.35">
      <c r="A6" s="39" t="s">
        <v>5</v>
      </c>
      <c r="B6" s="40">
        <f>B4*(1+B5)</f>
        <v>139050000</v>
      </c>
      <c r="C6" s="39" t="s">
        <v>10</v>
      </c>
    </row>
    <row r="7" spans="1:3" x14ac:dyDescent="0.35">
      <c r="A7" s="39" t="s">
        <v>6</v>
      </c>
      <c r="B7" s="39">
        <v>24</v>
      </c>
      <c r="C7" s="39" t="s">
        <v>57</v>
      </c>
    </row>
    <row r="8" spans="1:3" x14ac:dyDescent="0.35">
      <c r="A8" s="39" t="s">
        <v>7</v>
      </c>
      <c r="B8" s="39">
        <v>6</v>
      </c>
      <c r="C8" s="39" t="s">
        <v>11</v>
      </c>
    </row>
    <row r="9" spans="1:3" x14ac:dyDescent="0.35">
      <c r="A9" s="39" t="s">
        <v>8</v>
      </c>
      <c r="B9" s="39">
        <f>B7-B8</f>
        <v>18</v>
      </c>
      <c r="C9" s="39" t="s">
        <v>10</v>
      </c>
    </row>
    <row r="10" spans="1:3" x14ac:dyDescent="0.35">
      <c r="A10" s="32"/>
      <c r="B10" s="32"/>
      <c r="C10" s="32"/>
    </row>
    <row r="11" spans="1:3" ht="29" customHeight="1" x14ac:dyDescent="0.35">
      <c r="A11" s="94" t="s">
        <v>12</v>
      </c>
      <c r="B11" s="94"/>
      <c r="C11" s="94"/>
    </row>
    <row r="12" spans="1:3" x14ac:dyDescent="0.35">
      <c r="A12" s="44"/>
      <c r="B12" s="45"/>
      <c r="C12" s="45"/>
    </row>
    <row r="13" spans="1:3" ht="29" x14ac:dyDescent="0.35">
      <c r="A13" s="39" t="s">
        <v>13</v>
      </c>
      <c r="B13" s="40">
        <v>75000000</v>
      </c>
      <c r="C13" s="39" t="s">
        <v>18</v>
      </c>
    </row>
    <row r="14" spans="1:3" ht="29" x14ac:dyDescent="0.35">
      <c r="A14" s="39" t="s">
        <v>14</v>
      </c>
      <c r="B14" s="40">
        <v>20000000</v>
      </c>
      <c r="C14" s="39" t="s">
        <v>19</v>
      </c>
    </row>
    <row r="15" spans="1:3" ht="29" x14ac:dyDescent="0.35">
      <c r="A15" s="39" t="s">
        <v>15</v>
      </c>
      <c r="B15" s="40">
        <v>15000000</v>
      </c>
      <c r="C15" s="39" t="s">
        <v>20</v>
      </c>
    </row>
    <row r="16" spans="1:3" ht="29" x14ac:dyDescent="0.35">
      <c r="A16" s="39" t="s">
        <v>16</v>
      </c>
      <c r="B16" s="40">
        <v>5000000</v>
      </c>
      <c r="C16" s="39" t="s">
        <v>21</v>
      </c>
    </row>
    <row r="17" spans="1:3" x14ac:dyDescent="0.35">
      <c r="A17" s="39" t="s">
        <v>17</v>
      </c>
      <c r="B17" s="40">
        <f>SUM(B13:B16)</f>
        <v>115000000</v>
      </c>
      <c r="C17" s="39" t="s">
        <v>10</v>
      </c>
    </row>
    <row r="18" spans="1:3" x14ac:dyDescent="0.35">
      <c r="A18" s="32"/>
      <c r="B18" s="32"/>
      <c r="C18" s="32"/>
    </row>
    <row r="19" spans="1:3" x14ac:dyDescent="0.35">
      <c r="A19" s="32"/>
      <c r="B19" s="46"/>
      <c r="C19" s="32"/>
    </row>
    <row r="20" spans="1:3" x14ac:dyDescent="0.35">
      <c r="A20" s="32"/>
      <c r="B20" s="32"/>
      <c r="C20" s="32"/>
    </row>
    <row r="21" spans="1:3" x14ac:dyDescent="0.35">
      <c r="A21" s="94" t="s">
        <v>22</v>
      </c>
      <c r="B21" s="94"/>
      <c r="C21" s="94"/>
    </row>
    <row r="22" spans="1:3" x14ac:dyDescent="0.35">
      <c r="A22" s="45"/>
      <c r="B22" s="45"/>
      <c r="C22" s="45"/>
    </row>
    <row r="23" spans="1:3" x14ac:dyDescent="0.35">
      <c r="A23" s="39" t="s">
        <v>23</v>
      </c>
      <c r="B23" s="39" t="s">
        <v>53</v>
      </c>
      <c r="C23" s="39"/>
    </row>
    <row r="24" spans="1:3" ht="43.5" x14ac:dyDescent="0.35">
      <c r="A24" s="39" t="s">
        <v>24</v>
      </c>
      <c r="B24" s="39" t="str">
        <f>IF(B23="Base Case","Balanced allocation optimising both development and reliability",IF(B23="Aggressive Development","Heavy R&amp;D investment targeting lap time gains — higher risk",IF(B23="Operations Focus","Prioritises race execution and logistics reliability over development","")))</f>
        <v>Balanced allocation optimising both development and reliability</v>
      </c>
      <c r="C24" s="39"/>
    </row>
    <row r="25" spans="1:3" x14ac:dyDescent="0.35">
      <c r="A25" s="32"/>
      <c r="B25" s="32"/>
      <c r="C25" s="32"/>
    </row>
    <row r="26" spans="1:3" x14ac:dyDescent="0.35">
      <c r="A26" s="32"/>
      <c r="B26" s="32"/>
      <c r="C26" s="32"/>
    </row>
    <row r="27" spans="1:3" x14ac:dyDescent="0.35">
      <c r="A27" s="94" t="s">
        <v>25</v>
      </c>
      <c r="B27" s="94"/>
      <c r="C27" s="94"/>
    </row>
    <row r="28" spans="1:3" x14ac:dyDescent="0.35">
      <c r="A28" s="45"/>
      <c r="B28" s="45"/>
      <c r="C28" s="45"/>
    </row>
    <row r="29" spans="1:3" ht="29" x14ac:dyDescent="0.35">
      <c r="A29" s="39" t="s">
        <v>26</v>
      </c>
      <c r="B29" s="39" t="s">
        <v>32</v>
      </c>
      <c r="C29" s="39" t="s">
        <v>33</v>
      </c>
    </row>
    <row r="30" spans="1:3" ht="29" x14ac:dyDescent="0.35">
      <c r="A30" s="39" t="s">
        <v>27</v>
      </c>
      <c r="B30" s="39" t="s">
        <v>34</v>
      </c>
      <c r="C30" s="39" t="s">
        <v>39</v>
      </c>
    </row>
    <row r="31" spans="1:3" ht="29" x14ac:dyDescent="0.35">
      <c r="A31" s="39" t="s">
        <v>28</v>
      </c>
      <c r="B31" s="39" t="s">
        <v>35</v>
      </c>
      <c r="C31" s="39" t="s">
        <v>40</v>
      </c>
    </row>
    <row r="32" spans="1:3" ht="29" x14ac:dyDescent="0.35">
      <c r="A32" s="39" t="s">
        <v>29</v>
      </c>
      <c r="B32" s="39" t="s">
        <v>36</v>
      </c>
      <c r="C32" s="39" t="s">
        <v>41</v>
      </c>
    </row>
    <row r="33" spans="1:3" ht="29" x14ac:dyDescent="0.35">
      <c r="A33" s="39" t="s">
        <v>30</v>
      </c>
      <c r="B33" s="39" t="s">
        <v>37</v>
      </c>
      <c r="C33" s="39" t="s">
        <v>42</v>
      </c>
    </row>
    <row r="34" spans="1:3" ht="29" x14ac:dyDescent="0.35">
      <c r="A34" s="39" t="s">
        <v>31</v>
      </c>
      <c r="B34" s="39" t="s">
        <v>38</v>
      </c>
      <c r="C34" s="39" t="s">
        <v>43</v>
      </c>
    </row>
    <row r="35" spans="1:3" x14ac:dyDescent="0.35">
      <c r="A35" s="32"/>
      <c r="B35" s="32"/>
      <c r="C35" s="32"/>
    </row>
    <row r="36" spans="1:3" x14ac:dyDescent="0.35">
      <c r="A36" s="32"/>
      <c r="B36" s="32"/>
      <c r="C36" s="32"/>
    </row>
    <row r="37" spans="1:3" x14ac:dyDescent="0.35">
      <c r="A37" s="94" t="s">
        <v>44</v>
      </c>
      <c r="B37" s="94"/>
      <c r="C37" s="94"/>
    </row>
    <row r="38" spans="1:3" ht="29" x14ac:dyDescent="0.35">
      <c r="A38" s="45" t="s">
        <v>45</v>
      </c>
      <c r="B38" s="47">
        <v>1800000</v>
      </c>
      <c r="C38" s="45" t="s">
        <v>49</v>
      </c>
    </row>
    <row r="39" spans="1:3" ht="29" x14ac:dyDescent="0.35">
      <c r="A39" s="39" t="s">
        <v>46</v>
      </c>
      <c r="B39" s="40">
        <v>2200000</v>
      </c>
      <c r="C39" s="39" t="s">
        <v>50</v>
      </c>
    </row>
    <row r="40" spans="1:3" ht="29" x14ac:dyDescent="0.35">
      <c r="A40" s="39" t="s">
        <v>47</v>
      </c>
      <c r="B40" s="40">
        <v>-200000</v>
      </c>
      <c r="C40" s="39" t="s">
        <v>51</v>
      </c>
    </row>
    <row r="41" spans="1:3" ht="29" x14ac:dyDescent="0.35">
      <c r="A41" s="39" t="s">
        <v>48</v>
      </c>
      <c r="B41" s="40">
        <v>400000</v>
      </c>
      <c r="C41" s="39" t="s">
        <v>52</v>
      </c>
    </row>
    <row r="42" spans="1:3" x14ac:dyDescent="0.35">
      <c r="A42" s="32"/>
      <c r="B42" s="32"/>
      <c r="C42" s="32"/>
    </row>
    <row r="43" spans="1:3" x14ac:dyDescent="0.35">
      <c r="A43" s="32"/>
      <c r="B43" s="32"/>
      <c r="C43" s="32"/>
    </row>
    <row r="44" spans="1:3" x14ac:dyDescent="0.35">
      <c r="A44" s="32"/>
      <c r="B44" s="32"/>
      <c r="C44" s="32"/>
    </row>
    <row r="45" spans="1:3" x14ac:dyDescent="0.35">
      <c r="A45" s="32" t="s">
        <v>56</v>
      </c>
      <c r="B45" s="48">
        <f ca="1">TODAY()</f>
        <v>46104</v>
      </c>
      <c r="C45" s="32"/>
    </row>
  </sheetData>
  <mergeCells count="5">
    <mergeCell ref="A1:C1"/>
    <mergeCell ref="A11:C11"/>
    <mergeCell ref="A21:C21"/>
    <mergeCell ref="A27:C27"/>
    <mergeCell ref="A37:C37"/>
  </mergeCells>
  <phoneticPr fontId="6" type="noConversion"/>
  <dataValidations count="1">
    <dataValidation type="list" allowBlank="1" showInputMessage="1" showErrorMessage="1" sqref="B23" xr:uid="{1EE0CEC4-2633-49E5-A6D7-9D182C63C852}">
      <formula1>"Base Case,Aggressive Development,Operations Focus"</formula1>
    </dataValidation>
  </dataValidations>
  <pageMargins left="0.25" right="0.25" top="0.75" bottom="0.75" header="0.3" footer="0.3"/>
  <pageSetup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FE6B-ABD9-492E-B499-75C2ABA6EB58}">
  <sheetPr>
    <pageSetUpPr fitToPage="1"/>
  </sheetPr>
  <dimension ref="A1:G15"/>
  <sheetViews>
    <sheetView topLeftCell="A16" workbookViewId="0">
      <selection activeCell="H24" sqref="H24"/>
    </sheetView>
  </sheetViews>
  <sheetFormatPr defaultRowHeight="14.5" x14ac:dyDescent="0.35"/>
  <cols>
    <col min="1" max="1" width="32.6328125" customWidth="1"/>
    <col min="2" max="4" width="18.6328125" customWidth="1"/>
    <col min="5" max="5" width="15.6328125" customWidth="1"/>
    <col min="6" max="6" width="12.6328125" customWidth="1"/>
    <col min="7" max="7" width="18.6328125" customWidth="1"/>
  </cols>
  <sheetData>
    <row r="1" spans="1:7" s="2" customFormat="1" ht="18.5" x14ac:dyDescent="0.35">
      <c r="A1" s="95" t="s">
        <v>58</v>
      </c>
      <c r="B1" s="95"/>
      <c r="C1" s="95"/>
      <c r="D1" s="95"/>
      <c r="E1" s="95"/>
      <c r="F1" s="95"/>
      <c r="G1" s="95"/>
    </row>
    <row r="2" spans="1:7" s="4" customFormat="1" ht="29" x14ac:dyDescent="0.35">
      <c r="A2" s="5" t="s">
        <v>59</v>
      </c>
      <c r="B2" s="6" t="s">
        <v>60</v>
      </c>
      <c r="C2" s="7" t="s">
        <v>61</v>
      </c>
      <c r="D2" s="8" t="s">
        <v>62</v>
      </c>
      <c r="E2" s="9" t="s">
        <v>63</v>
      </c>
      <c r="F2" s="10" t="s">
        <v>64</v>
      </c>
      <c r="G2" s="11" t="s">
        <v>65</v>
      </c>
    </row>
    <row r="3" spans="1:7" x14ac:dyDescent="0.35">
      <c r="A3" s="12"/>
      <c r="B3" s="13" t="s">
        <v>69</v>
      </c>
      <c r="C3" s="14" t="s">
        <v>70</v>
      </c>
      <c r="D3" s="15" t="s">
        <v>71</v>
      </c>
      <c r="E3" s="16" t="s">
        <v>72</v>
      </c>
      <c r="F3" s="17"/>
      <c r="G3" s="18"/>
    </row>
    <row r="4" spans="1:7" x14ac:dyDescent="0.35">
      <c r="A4" s="19" t="s">
        <v>32</v>
      </c>
      <c r="B4" s="20">
        <v>42000000</v>
      </c>
      <c r="C4" s="21">
        <v>52000000</v>
      </c>
      <c r="D4" s="22">
        <v>35000000</v>
      </c>
      <c r="E4" s="23">
        <f t="shared" ref="E4:E9" si="0">IF(ActiveScenario="Base Case",B4,IF(ActiveScenario="Aggressive Development",C4,IF(ActiveScenario="Operations Focus",D4,B4)))</f>
        <v>42000000</v>
      </c>
      <c r="F4" s="24">
        <f t="shared" ref="F4:F9" si="1">E4/CapLimit</f>
        <v>0.31111111111111112</v>
      </c>
      <c r="G4" s="25">
        <f>E4</f>
        <v>42000000</v>
      </c>
    </row>
    <row r="5" spans="1:7" x14ac:dyDescent="0.35">
      <c r="A5" s="19" t="s">
        <v>34</v>
      </c>
      <c r="B5" s="20">
        <v>28000000</v>
      </c>
      <c r="C5" s="21">
        <v>30000000</v>
      </c>
      <c r="D5" s="22">
        <v>25000000</v>
      </c>
      <c r="E5" s="23">
        <f t="shared" si="0"/>
        <v>28000000</v>
      </c>
      <c r="F5" s="24">
        <f t="shared" si="1"/>
        <v>0.2074074074074074</v>
      </c>
      <c r="G5" s="25">
        <f t="shared" ref="G5:G9" si="2">E5</f>
        <v>28000000</v>
      </c>
    </row>
    <row r="6" spans="1:7" x14ac:dyDescent="0.35">
      <c r="A6" s="19" t="s">
        <v>35</v>
      </c>
      <c r="B6" s="20">
        <v>22000000</v>
      </c>
      <c r="C6" s="21">
        <v>15000000</v>
      </c>
      <c r="D6" s="22">
        <v>32000000</v>
      </c>
      <c r="E6" s="23">
        <f t="shared" si="0"/>
        <v>22000000</v>
      </c>
      <c r="F6" s="24">
        <f t="shared" si="1"/>
        <v>0.16296296296296298</v>
      </c>
      <c r="G6" s="25">
        <f t="shared" si="2"/>
        <v>22000000</v>
      </c>
    </row>
    <row r="7" spans="1:7" x14ac:dyDescent="0.35">
      <c r="A7" s="19" t="s">
        <v>36</v>
      </c>
      <c r="B7" s="20">
        <v>18000000</v>
      </c>
      <c r="C7" s="21">
        <v>18000000</v>
      </c>
      <c r="D7" s="22">
        <v>18000000</v>
      </c>
      <c r="E7" s="23">
        <f t="shared" si="0"/>
        <v>18000000</v>
      </c>
      <c r="F7" s="24">
        <f t="shared" si="1"/>
        <v>0.13333333333333333</v>
      </c>
      <c r="G7" s="25">
        <f t="shared" si="2"/>
        <v>18000000</v>
      </c>
    </row>
    <row r="8" spans="1:7" x14ac:dyDescent="0.35">
      <c r="A8" s="19" t="s">
        <v>37</v>
      </c>
      <c r="B8" s="20">
        <v>12000000</v>
      </c>
      <c r="C8" s="21">
        <v>12000000</v>
      </c>
      <c r="D8" s="22">
        <v>12000000</v>
      </c>
      <c r="E8" s="23">
        <f t="shared" si="0"/>
        <v>12000000</v>
      </c>
      <c r="F8" s="24">
        <f t="shared" si="1"/>
        <v>8.8888888888888892E-2</v>
      </c>
      <c r="G8" s="25">
        <f t="shared" si="2"/>
        <v>12000000</v>
      </c>
    </row>
    <row r="9" spans="1:7" x14ac:dyDescent="0.35">
      <c r="A9" s="26" t="s">
        <v>38</v>
      </c>
      <c r="B9" s="27">
        <v>8000000</v>
      </c>
      <c r="C9" s="28">
        <v>3000000</v>
      </c>
      <c r="D9" s="29">
        <v>8000000</v>
      </c>
      <c r="E9" s="16">
        <f t="shared" si="0"/>
        <v>8000000</v>
      </c>
      <c r="F9" s="30">
        <f t="shared" si="1"/>
        <v>5.9259259259259262E-2</v>
      </c>
      <c r="G9" s="31">
        <f t="shared" si="2"/>
        <v>8000000</v>
      </c>
    </row>
    <row r="10" spans="1:7" hidden="1" x14ac:dyDescent="0.35">
      <c r="A10" s="32"/>
      <c r="B10" s="32"/>
      <c r="C10" s="32"/>
      <c r="D10" s="32"/>
      <c r="E10" s="32"/>
      <c r="F10" s="32"/>
      <c r="G10" s="32"/>
    </row>
    <row r="11" spans="1:7" x14ac:dyDescent="0.35">
      <c r="A11" s="33" t="s">
        <v>66</v>
      </c>
      <c r="B11" s="34">
        <f>SUM(B4:B9)</f>
        <v>130000000</v>
      </c>
      <c r="C11" s="34">
        <f t="shared" ref="C11:E11" si="3">SUM(C4:C9)</f>
        <v>130000000</v>
      </c>
      <c r="D11" s="34">
        <f t="shared" si="3"/>
        <v>130000000</v>
      </c>
      <c r="E11" s="34">
        <f t="shared" si="3"/>
        <v>130000000</v>
      </c>
      <c r="F11" s="35">
        <f>SUM(F4:F9)</f>
        <v>0.96296296296296291</v>
      </c>
      <c r="G11" s="33">
        <f>SUM(G4:G9)</f>
        <v>130000000</v>
      </c>
    </row>
    <row r="12" spans="1:7" x14ac:dyDescent="0.35">
      <c r="A12" s="32"/>
      <c r="B12" s="32"/>
      <c r="C12" s="32"/>
      <c r="D12" s="32"/>
      <c r="E12" s="32"/>
      <c r="F12" s="32"/>
      <c r="G12" s="32"/>
    </row>
    <row r="13" spans="1:7" ht="46.5" x14ac:dyDescent="0.35">
      <c r="A13" s="32" t="s">
        <v>67</v>
      </c>
      <c r="B13" s="36" t="str">
        <f>IF(E11&gt;CapLimit,"⚠ CAP BREACH — OVER BY $"&amp;TEXT(E11-CapLimit,"#,##0"),"✓ WITHIN CAP — HEADROOM: $"&amp;TEXT(CapLimit-E11,"#,##0"))</f>
        <v>✓ WITHIN CAP — HEADROOM: $50,00,000</v>
      </c>
      <c r="C13" s="32"/>
      <c r="D13" s="32"/>
      <c r="E13" s="32"/>
      <c r="F13" s="32"/>
      <c r="G13" s="32"/>
    </row>
    <row r="14" spans="1:7" x14ac:dyDescent="0.35">
      <c r="A14" s="32"/>
      <c r="B14" s="32"/>
      <c r="C14" s="32"/>
      <c r="D14" s="32"/>
      <c r="E14" s="32"/>
      <c r="F14" s="32"/>
      <c r="G14" s="32"/>
    </row>
    <row r="15" spans="1:7" ht="58" x14ac:dyDescent="0.35">
      <c r="A15" s="5" t="s">
        <v>68</v>
      </c>
      <c r="B15" s="37" t="str">
        <f>ActiveScenario</f>
        <v>Base Case</v>
      </c>
      <c r="C15" s="18" t="str">
        <f>IF(ActiveScenario="","",Assumptions!B24)</f>
        <v>Balanced allocation optimising both development and reliability</v>
      </c>
      <c r="D15" s="32"/>
      <c r="E15" s="32"/>
      <c r="F15" s="32"/>
      <c r="G15" s="32"/>
    </row>
  </sheetData>
  <mergeCells count="1">
    <mergeCell ref="A1:G1"/>
  </mergeCells>
  <conditionalFormatting sqref="B13">
    <cfRule type="containsText" dxfId="17" priority="1" operator="containsText" text="CAP BREACH">
      <formula>NOT(ISERROR(SEARCH("CAP BREACH",B13)))</formula>
    </cfRule>
    <cfRule type="containsText" dxfId="16" priority="2" operator="containsText" text="WITHIN CAP">
      <formula>NOT(ISERROR(SEARCH("WITHIN CAP",B13)))</formula>
    </cfRule>
    <cfRule type="containsText" dxfId="15" priority="3" operator="containsText" text="&quot;CAP BREACH&quot;">
      <formula>NOT(ISERROR(SEARCH("""CAP BREACH""",B13)))</formula>
    </cfRule>
  </conditionalFormatting>
  <pageMargins left="0.7" right="0.7" top="0.75" bottom="0.75" header="0.3" footer="0.3"/>
  <pageSetup scale="8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D0D7-9E77-4D72-A14F-D950F27F06A3}">
  <sheetPr>
    <pageSetUpPr fitToPage="1"/>
  </sheetPr>
  <dimension ref="A1:K37"/>
  <sheetViews>
    <sheetView workbookViewId="0">
      <pane ySplit="2" topLeftCell="A33" activePane="bottomLeft" state="frozen"/>
      <selection pane="bottomLeft" activeCell="I40" sqref="I40"/>
    </sheetView>
  </sheetViews>
  <sheetFormatPr defaultRowHeight="14.5" x14ac:dyDescent="0.35"/>
  <cols>
    <col min="1" max="1" width="22.08984375" customWidth="1"/>
    <col min="2" max="2" width="22.6328125" customWidth="1"/>
    <col min="3" max="3" width="12.6328125" customWidth="1"/>
    <col min="4" max="4" width="15.6328125" customWidth="1"/>
    <col min="5" max="5" width="18.6328125" customWidth="1"/>
    <col min="6" max="6" width="20.6328125" customWidth="1"/>
    <col min="7" max="9" width="18.6328125" customWidth="1"/>
    <col min="11" max="11" width="9.81640625" bestFit="1" customWidth="1"/>
  </cols>
  <sheetData>
    <row r="1" spans="1:11" s="4" customFormat="1" ht="18.5" x14ac:dyDescent="0.45">
      <c r="A1" s="96" t="s">
        <v>73</v>
      </c>
      <c r="B1" s="96"/>
      <c r="C1" s="96"/>
      <c r="D1" s="96"/>
      <c r="E1" s="96"/>
      <c r="F1" s="96"/>
      <c r="G1" s="96"/>
      <c r="H1" s="96"/>
      <c r="I1" s="96"/>
    </row>
    <row r="2" spans="1:11" s="2" customFormat="1" ht="29" x14ac:dyDescent="0.35">
      <c r="A2" s="68" t="s">
        <v>74</v>
      </c>
      <c r="B2" s="68" t="s">
        <v>75</v>
      </c>
      <c r="C2" s="68" t="s">
        <v>76</v>
      </c>
      <c r="D2" s="68" t="s">
        <v>77</v>
      </c>
      <c r="E2" s="68" t="s">
        <v>78</v>
      </c>
      <c r="F2" s="68" t="s">
        <v>79</v>
      </c>
      <c r="G2" s="68" t="s">
        <v>118</v>
      </c>
      <c r="H2" s="68" t="s">
        <v>80</v>
      </c>
      <c r="I2" s="68" t="s">
        <v>81</v>
      </c>
    </row>
    <row r="3" spans="1:11" x14ac:dyDescent="0.35">
      <c r="A3" s="97" t="s">
        <v>119</v>
      </c>
      <c r="B3" s="97"/>
      <c r="C3" s="97"/>
      <c r="D3" s="97"/>
      <c r="E3" s="97"/>
      <c r="F3" s="97"/>
      <c r="G3" s="97"/>
      <c r="H3" s="97"/>
      <c r="I3" s="97"/>
    </row>
    <row r="4" spans="1:11" x14ac:dyDescent="0.35">
      <c r="A4" s="49">
        <v>1</v>
      </c>
      <c r="B4" s="49" t="s">
        <v>82</v>
      </c>
      <c r="C4" s="49" t="s">
        <v>83</v>
      </c>
      <c r="D4" s="49" t="s">
        <v>84</v>
      </c>
      <c r="E4" s="50">
        <f>IF(C4="Sprint",Assumptions!$B$39,Assumptions!$B$38)+IF(D4="European",Assumptions!$B$40,Assumptions!$B$41)</f>
        <v>2200000</v>
      </c>
      <c r="F4" s="50">
        <f>E4</f>
        <v>2200000</v>
      </c>
      <c r="G4" s="50">
        <f t="shared" ref="G4:G27" si="0">CapLimit-F4</f>
        <v>132800000</v>
      </c>
      <c r="H4" s="49" t="str">
        <f t="shared" ref="H4:H27" si="1">IF(F4&gt;(CapLimit*(A4/TotalRaces)),"🔴 Burning Fast","🟢 On Track")</f>
        <v>🟢 On Track</v>
      </c>
      <c r="I4" s="49" t="str">
        <f t="shared" ref="I4:I27" si="2">IF(A4=0,"",IF((F4/A4)*TotalRaces&gt;CapLimit,"⚠ BREACH PROJECTED","✓ SAFE"))</f>
        <v>✓ SAFE</v>
      </c>
      <c r="K4">
        <f t="shared" ref="K4:K27" si="3">CapLimit</f>
        <v>135000000</v>
      </c>
    </row>
    <row r="5" spans="1:11" x14ac:dyDescent="0.35">
      <c r="A5" s="49">
        <v>2</v>
      </c>
      <c r="B5" s="49" t="s">
        <v>85</v>
      </c>
      <c r="C5" s="49" t="s">
        <v>86</v>
      </c>
      <c r="D5" s="49" t="s">
        <v>84</v>
      </c>
      <c r="E5" s="50">
        <f>IF(C5="Sprint",Assumptions!$B$39,Assumptions!$B$38)+IF(D5="European",Assumptions!$B$40,Assumptions!$B$41)</f>
        <v>2600000</v>
      </c>
      <c r="F5" s="50">
        <f>F4+E5</f>
        <v>4800000</v>
      </c>
      <c r="G5" s="50">
        <f t="shared" si="0"/>
        <v>130200000</v>
      </c>
      <c r="H5" s="49" t="str">
        <f t="shared" si="1"/>
        <v>🟢 On Track</v>
      </c>
      <c r="I5" s="49" t="str">
        <f t="shared" si="2"/>
        <v>✓ SAFE</v>
      </c>
      <c r="K5">
        <f t="shared" si="3"/>
        <v>135000000</v>
      </c>
    </row>
    <row r="6" spans="1:11" x14ac:dyDescent="0.35">
      <c r="A6" s="49">
        <v>3</v>
      </c>
      <c r="B6" s="49" t="s">
        <v>87</v>
      </c>
      <c r="C6" s="49" t="s">
        <v>83</v>
      </c>
      <c r="D6" s="49" t="s">
        <v>84</v>
      </c>
      <c r="E6" s="50">
        <f>IF(C6="Sprint",Assumptions!$B$39,Assumptions!$B$38)+IF(D6="European",Assumptions!$B$40,Assumptions!$B$41)</f>
        <v>2200000</v>
      </c>
      <c r="F6" s="50">
        <f t="shared" ref="F6:F27" si="4">F5+E6</f>
        <v>7000000</v>
      </c>
      <c r="G6" s="50">
        <f t="shared" si="0"/>
        <v>128000000</v>
      </c>
      <c r="H6" s="49" t="str">
        <f t="shared" si="1"/>
        <v>🟢 On Track</v>
      </c>
      <c r="I6" s="49" t="str">
        <f t="shared" si="2"/>
        <v>✓ SAFE</v>
      </c>
      <c r="K6">
        <f t="shared" si="3"/>
        <v>135000000</v>
      </c>
    </row>
    <row r="7" spans="1:11" x14ac:dyDescent="0.35">
      <c r="A7" s="49">
        <v>4</v>
      </c>
      <c r="B7" s="49" t="s">
        <v>88</v>
      </c>
      <c r="C7" s="49" t="s">
        <v>83</v>
      </c>
      <c r="D7" s="49" t="s">
        <v>84</v>
      </c>
      <c r="E7" s="50">
        <f>IF(C7="Sprint",Assumptions!$B$39,Assumptions!$B$38)+IF(D7="European",Assumptions!$B$40,Assumptions!$B$41)</f>
        <v>2200000</v>
      </c>
      <c r="F7" s="50">
        <f t="shared" si="4"/>
        <v>9200000</v>
      </c>
      <c r="G7" s="50">
        <f t="shared" si="0"/>
        <v>125800000</v>
      </c>
      <c r="H7" s="49" t="str">
        <f t="shared" si="1"/>
        <v>🟢 On Track</v>
      </c>
      <c r="I7" s="49" t="str">
        <f t="shared" si="2"/>
        <v>✓ SAFE</v>
      </c>
      <c r="K7">
        <f t="shared" si="3"/>
        <v>135000000</v>
      </c>
    </row>
    <row r="8" spans="1:11" x14ac:dyDescent="0.35">
      <c r="A8" s="49">
        <v>5</v>
      </c>
      <c r="B8" s="49" t="s">
        <v>89</v>
      </c>
      <c r="C8" s="49" t="s">
        <v>83</v>
      </c>
      <c r="D8" s="49" t="s">
        <v>84</v>
      </c>
      <c r="E8" s="50">
        <f>IF(C8="Sprint",Assumptions!$B$39,Assumptions!$B$38)+IF(D8="European",Assumptions!$B$40,Assumptions!$B$41)</f>
        <v>2200000</v>
      </c>
      <c r="F8" s="50">
        <f t="shared" si="4"/>
        <v>11400000</v>
      </c>
      <c r="G8" s="50">
        <f t="shared" si="0"/>
        <v>123600000</v>
      </c>
      <c r="H8" s="49" t="str">
        <f t="shared" si="1"/>
        <v>🟢 On Track</v>
      </c>
      <c r="I8" s="49" t="str">
        <f t="shared" si="2"/>
        <v>✓ SAFE</v>
      </c>
      <c r="K8">
        <f t="shared" si="3"/>
        <v>135000000</v>
      </c>
    </row>
    <row r="9" spans="1:11" x14ac:dyDescent="0.35">
      <c r="A9" s="49">
        <v>6</v>
      </c>
      <c r="B9" s="49" t="s">
        <v>90</v>
      </c>
      <c r="C9" s="49" t="s">
        <v>86</v>
      </c>
      <c r="D9" s="49" t="s">
        <v>84</v>
      </c>
      <c r="E9" s="50">
        <f>IF(C9="Sprint",Assumptions!$B$39,Assumptions!$B$38)+IF(D9="European",Assumptions!$B$40,Assumptions!$B$41)</f>
        <v>2600000</v>
      </c>
      <c r="F9" s="50">
        <f t="shared" si="4"/>
        <v>14000000</v>
      </c>
      <c r="G9" s="50">
        <f t="shared" si="0"/>
        <v>121000000</v>
      </c>
      <c r="H9" s="49" t="str">
        <f t="shared" si="1"/>
        <v>🟢 On Track</v>
      </c>
      <c r="I9" s="49" t="str">
        <f t="shared" si="2"/>
        <v>✓ SAFE</v>
      </c>
      <c r="K9">
        <f t="shared" si="3"/>
        <v>135000000</v>
      </c>
    </row>
    <row r="10" spans="1:11" x14ac:dyDescent="0.35">
      <c r="A10" s="49">
        <v>7</v>
      </c>
      <c r="B10" s="49" t="s">
        <v>91</v>
      </c>
      <c r="C10" s="49" t="s">
        <v>83</v>
      </c>
      <c r="D10" s="49" t="s">
        <v>92</v>
      </c>
      <c r="E10" s="50">
        <f>IF(C10="Sprint",Assumptions!$B$39,Assumptions!$B$38)+IF(D10="European",Assumptions!$B$40,Assumptions!$B$41)</f>
        <v>1600000</v>
      </c>
      <c r="F10" s="50">
        <f t="shared" si="4"/>
        <v>15600000</v>
      </c>
      <c r="G10" s="50">
        <f t="shared" si="0"/>
        <v>119400000</v>
      </c>
      <c r="H10" s="49" t="str">
        <f t="shared" si="1"/>
        <v>🟢 On Track</v>
      </c>
      <c r="I10" s="49" t="str">
        <f t="shared" si="2"/>
        <v>✓ SAFE</v>
      </c>
      <c r="K10">
        <f t="shared" si="3"/>
        <v>135000000</v>
      </c>
    </row>
    <row r="11" spans="1:11" x14ac:dyDescent="0.35">
      <c r="A11" s="49">
        <v>8</v>
      </c>
      <c r="B11" s="49" t="s">
        <v>93</v>
      </c>
      <c r="C11" s="49" t="s">
        <v>83</v>
      </c>
      <c r="D11" s="49" t="s">
        <v>92</v>
      </c>
      <c r="E11" s="50">
        <f>IF(C11="Sprint",Assumptions!$B$39,Assumptions!$B$38)+IF(D11="European",Assumptions!$B$40,Assumptions!$B$41)</f>
        <v>1600000</v>
      </c>
      <c r="F11" s="50">
        <f t="shared" si="4"/>
        <v>17200000</v>
      </c>
      <c r="G11" s="50">
        <f t="shared" si="0"/>
        <v>117800000</v>
      </c>
      <c r="H11" s="49" t="str">
        <f t="shared" si="1"/>
        <v>🟢 On Track</v>
      </c>
      <c r="I11" s="49" t="str">
        <f t="shared" si="2"/>
        <v>✓ SAFE</v>
      </c>
      <c r="K11">
        <f t="shared" si="3"/>
        <v>135000000</v>
      </c>
    </row>
    <row r="12" spans="1:11" x14ac:dyDescent="0.35">
      <c r="A12" s="49">
        <v>9</v>
      </c>
      <c r="B12" s="49" t="s">
        <v>94</v>
      </c>
      <c r="C12" s="49" t="s">
        <v>83</v>
      </c>
      <c r="D12" s="49" t="s">
        <v>92</v>
      </c>
      <c r="E12" s="50">
        <f>IF(C12="Sprint",Assumptions!$B$39,Assumptions!$B$38)+IF(D12="European",Assumptions!$B$40,Assumptions!$B$41)</f>
        <v>1600000</v>
      </c>
      <c r="F12" s="50">
        <f t="shared" si="4"/>
        <v>18800000</v>
      </c>
      <c r="G12" s="50">
        <f t="shared" si="0"/>
        <v>116200000</v>
      </c>
      <c r="H12" s="49" t="str">
        <f t="shared" si="1"/>
        <v>🟢 On Track</v>
      </c>
      <c r="I12" s="49" t="str">
        <f t="shared" si="2"/>
        <v>✓ SAFE</v>
      </c>
      <c r="K12">
        <f t="shared" si="3"/>
        <v>135000000</v>
      </c>
    </row>
    <row r="13" spans="1:11" x14ac:dyDescent="0.35">
      <c r="A13" s="49">
        <v>10</v>
      </c>
      <c r="B13" s="49" t="s">
        <v>95</v>
      </c>
      <c r="C13" s="49" t="s">
        <v>83</v>
      </c>
      <c r="D13" s="49" t="s">
        <v>84</v>
      </c>
      <c r="E13" s="50">
        <f>IF(C13="Sprint",Assumptions!$B$39,Assumptions!$B$38)+IF(D13="European",Assumptions!$B$40,Assumptions!$B$41)</f>
        <v>2200000</v>
      </c>
      <c r="F13" s="50">
        <f t="shared" si="4"/>
        <v>21000000</v>
      </c>
      <c r="G13" s="50">
        <f t="shared" si="0"/>
        <v>114000000</v>
      </c>
      <c r="H13" s="49" t="str">
        <f t="shared" si="1"/>
        <v>🟢 On Track</v>
      </c>
      <c r="I13" s="49" t="str">
        <f t="shared" si="2"/>
        <v>✓ SAFE</v>
      </c>
      <c r="K13">
        <f t="shared" si="3"/>
        <v>135000000</v>
      </c>
    </row>
    <row r="14" spans="1:11" x14ac:dyDescent="0.35">
      <c r="A14" s="49">
        <v>11</v>
      </c>
      <c r="B14" s="49" t="s">
        <v>96</v>
      </c>
      <c r="C14" s="49" t="s">
        <v>83</v>
      </c>
      <c r="D14" s="49" t="s">
        <v>92</v>
      </c>
      <c r="E14" s="50">
        <f>IF(C14="Sprint",Assumptions!$B$39,Assumptions!$B$38)+IF(D14="European",Assumptions!$B$40,Assumptions!$B$41)</f>
        <v>1600000</v>
      </c>
      <c r="F14" s="50">
        <f t="shared" si="4"/>
        <v>22600000</v>
      </c>
      <c r="G14" s="50">
        <f t="shared" si="0"/>
        <v>112400000</v>
      </c>
      <c r="H14" s="49" t="str">
        <f t="shared" si="1"/>
        <v>🟢 On Track</v>
      </c>
      <c r="I14" s="49" t="str">
        <f t="shared" si="2"/>
        <v>✓ SAFE</v>
      </c>
      <c r="K14">
        <f t="shared" si="3"/>
        <v>135000000</v>
      </c>
    </row>
    <row r="15" spans="1:11" x14ac:dyDescent="0.35">
      <c r="A15" s="49">
        <v>12</v>
      </c>
      <c r="B15" s="49" t="s">
        <v>97</v>
      </c>
      <c r="C15" s="49" t="s">
        <v>83</v>
      </c>
      <c r="D15" s="49" t="s">
        <v>92</v>
      </c>
      <c r="E15" s="50">
        <f>IF(C15="Sprint",Assumptions!$B$39,Assumptions!$B$38)+IF(D15="European",Assumptions!$B$40,Assumptions!$B$41)</f>
        <v>1600000</v>
      </c>
      <c r="F15" s="50">
        <f t="shared" si="4"/>
        <v>24200000</v>
      </c>
      <c r="G15" s="50">
        <f t="shared" si="0"/>
        <v>110800000</v>
      </c>
      <c r="H15" s="49" t="str">
        <f t="shared" si="1"/>
        <v>🟢 On Track</v>
      </c>
      <c r="I15" s="49" t="str">
        <f t="shared" si="2"/>
        <v>✓ SAFE</v>
      </c>
      <c r="K15">
        <f t="shared" si="3"/>
        <v>135000000</v>
      </c>
    </row>
    <row r="16" spans="1:11" x14ac:dyDescent="0.35">
      <c r="A16" s="49">
        <v>13</v>
      </c>
      <c r="B16" s="49" t="s">
        <v>98</v>
      </c>
      <c r="C16" s="49" t="s">
        <v>83</v>
      </c>
      <c r="D16" s="49" t="s">
        <v>92</v>
      </c>
      <c r="E16" s="50">
        <f>IF(C16="Sprint",Assumptions!$B$39,Assumptions!$B$38)+IF(D16="European",Assumptions!$B$40,Assumptions!$B$41)</f>
        <v>1600000</v>
      </c>
      <c r="F16" s="50">
        <f t="shared" si="4"/>
        <v>25800000</v>
      </c>
      <c r="G16" s="50">
        <f t="shared" si="0"/>
        <v>109200000</v>
      </c>
      <c r="H16" s="49" t="str">
        <f t="shared" si="1"/>
        <v>🟢 On Track</v>
      </c>
      <c r="I16" s="49" t="str">
        <f t="shared" si="2"/>
        <v>✓ SAFE</v>
      </c>
      <c r="K16">
        <f t="shared" si="3"/>
        <v>135000000</v>
      </c>
    </row>
    <row r="17" spans="1:11" x14ac:dyDescent="0.35">
      <c r="A17" s="49">
        <v>14</v>
      </c>
      <c r="B17" s="49" t="s">
        <v>99</v>
      </c>
      <c r="C17" s="49" t="s">
        <v>83</v>
      </c>
      <c r="D17" s="49" t="s">
        <v>92</v>
      </c>
      <c r="E17" s="50">
        <f>IF(C17="Sprint",Assumptions!$B$39,Assumptions!$B$38)+IF(D17="European",Assumptions!$B$40,Assumptions!$B$41)</f>
        <v>1600000</v>
      </c>
      <c r="F17" s="50">
        <f t="shared" si="4"/>
        <v>27400000</v>
      </c>
      <c r="G17" s="50">
        <f t="shared" si="0"/>
        <v>107600000</v>
      </c>
      <c r="H17" s="49" t="str">
        <f t="shared" si="1"/>
        <v>🟢 On Track</v>
      </c>
      <c r="I17" s="49" t="str">
        <f t="shared" si="2"/>
        <v>✓ SAFE</v>
      </c>
      <c r="K17">
        <f t="shared" si="3"/>
        <v>135000000</v>
      </c>
    </row>
    <row r="18" spans="1:11" x14ac:dyDescent="0.35">
      <c r="A18" s="49">
        <v>15</v>
      </c>
      <c r="B18" s="49" t="s">
        <v>100</v>
      </c>
      <c r="C18" s="49" t="s">
        <v>83</v>
      </c>
      <c r="D18" s="49" t="s">
        <v>92</v>
      </c>
      <c r="E18" s="50">
        <f>IF(C18="Sprint",Assumptions!$B$39,Assumptions!$B$38)+IF(D18="European",Assumptions!$B$40,Assumptions!$B$41)</f>
        <v>1600000</v>
      </c>
      <c r="F18" s="50">
        <f t="shared" si="4"/>
        <v>29000000</v>
      </c>
      <c r="G18" s="50">
        <f t="shared" si="0"/>
        <v>106000000</v>
      </c>
      <c r="H18" s="49" t="str">
        <f t="shared" si="1"/>
        <v>🟢 On Track</v>
      </c>
      <c r="I18" s="49" t="str">
        <f t="shared" si="2"/>
        <v>✓ SAFE</v>
      </c>
      <c r="K18">
        <f t="shared" si="3"/>
        <v>135000000</v>
      </c>
    </row>
    <row r="19" spans="1:11" x14ac:dyDescent="0.35">
      <c r="A19" s="49">
        <v>16</v>
      </c>
      <c r="B19" s="49" t="s">
        <v>101</v>
      </c>
      <c r="C19" s="49" t="s">
        <v>83</v>
      </c>
      <c r="D19" s="49" t="s">
        <v>92</v>
      </c>
      <c r="E19" s="50">
        <f>IF(C19="Sprint",Assumptions!$B$39,Assumptions!$B$38)+IF(D19="European",Assumptions!$B$40,Assumptions!$B$41)</f>
        <v>1600000</v>
      </c>
      <c r="F19" s="50">
        <f t="shared" si="4"/>
        <v>30600000</v>
      </c>
      <c r="G19" s="50">
        <f t="shared" si="0"/>
        <v>104400000</v>
      </c>
      <c r="H19" s="49" t="str">
        <f t="shared" si="1"/>
        <v>🟢 On Track</v>
      </c>
      <c r="I19" s="49" t="str">
        <f t="shared" si="2"/>
        <v>✓ SAFE</v>
      </c>
      <c r="K19">
        <f t="shared" si="3"/>
        <v>135000000</v>
      </c>
    </row>
    <row r="20" spans="1:11" x14ac:dyDescent="0.35">
      <c r="A20" s="49">
        <v>17</v>
      </c>
      <c r="B20" s="49" t="s">
        <v>102</v>
      </c>
      <c r="C20" s="49" t="s">
        <v>83</v>
      </c>
      <c r="D20" s="49" t="s">
        <v>84</v>
      </c>
      <c r="E20" s="50">
        <f>IF(C20="Sprint",Assumptions!$B$39,Assumptions!$B$38)+IF(D20="European",Assumptions!$B$40,Assumptions!$B$41)</f>
        <v>2200000</v>
      </c>
      <c r="F20" s="50">
        <f t="shared" si="4"/>
        <v>32800000</v>
      </c>
      <c r="G20" s="50">
        <f t="shared" si="0"/>
        <v>102200000</v>
      </c>
      <c r="H20" s="49" t="str">
        <f t="shared" si="1"/>
        <v>🟢 On Track</v>
      </c>
      <c r="I20" s="49" t="str">
        <f t="shared" si="2"/>
        <v>✓ SAFE</v>
      </c>
      <c r="K20">
        <f t="shared" si="3"/>
        <v>135000000</v>
      </c>
    </row>
    <row r="21" spans="1:11" x14ac:dyDescent="0.35">
      <c r="A21" s="49">
        <v>18</v>
      </c>
      <c r="B21" s="49" t="s">
        <v>103</v>
      </c>
      <c r="C21" s="49" t="s">
        <v>83</v>
      </c>
      <c r="D21" s="49" t="s">
        <v>84</v>
      </c>
      <c r="E21" s="50">
        <f>IF(C21="Sprint",Assumptions!$B$39,Assumptions!$B$38)+IF(D21="European",Assumptions!$B$40,Assumptions!$B$41)</f>
        <v>2200000</v>
      </c>
      <c r="F21" s="50">
        <f t="shared" si="4"/>
        <v>35000000</v>
      </c>
      <c r="G21" s="50">
        <f t="shared" si="0"/>
        <v>100000000</v>
      </c>
      <c r="H21" s="49" t="str">
        <f t="shared" si="1"/>
        <v>🟢 On Track</v>
      </c>
      <c r="I21" s="49" t="str">
        <f t="shared" si="2"/>
        <v>✓ SAFE</v>
      </c>
      <c r="K21">
        <f t="shared" si="3"/>
        <v>135000000</v>
      </c>
    </row>
    <row r="22" spans="1:11" x14ac:dyDescent="0.35">
      <c r="A22" s="49">
        <v>19</v>
      </c>
      <c r="B22" s="49" t="s">
        <v>104</v>
      </c>
      <c r="C22" s="49" t="s">
        <v>86</v>
      </c>
      <c r="D22" s="49" t="s">
        <v>84</v>
      </c>
      <c r="E22" s="50">
        <f>IF(C22="Sprint",Assumptions!$B$39,Assumptions!$B$38)+IF(D22="European",Assumptions!$B$40,Assumptions!$B$41)</f>
        <v>2600000</v>
      </c>
      <c r="F22" s="50">
        <f t="shared" si="4"/>
        <v>37600000</v>
      </c>
      <c r="G22" s="50">
        <f t="shared" si="0"/>
        <v>97400000</v>
      </c>
      <c r="H22" s="49" t="str">
        <f t="shared" si="1"/>
        <v>🟢 On Track</v>
      </c>
      <c r="I22" s="49" t="str">
        <f t="shared" si="2"/>
        <v>✓ SAFE</v>
      </c>
      <c r="K22">
        <f t="shared" si="3"/>
        <v>135000000</v>
      </c>
    </row>
    <row r="23" spans="1:11" x14ac:dyDescent="0.35">
      <c r="A23" s="49">
        <v>20</v>
      </c>
      <c r="B23" s="49" t="s">
        <v>105</v>
      </c>
      <c r="C23" s="49" t="s">
        <v>83</v>
      </c>
      <c r="D23" s="49" t="s">
        <v>84</v>
      </c>
      <c r="E23" s="50">
        <f>IF(C23="Sprint",Assumptions!$B$39,Assumptions!$B$38)+IF(D23="European",Assumptions!$B$40,Assumptions!$B$41)</f>
        <v>2200000</v>
      </c>
      <c r="F23" s="50">
        <f t="shared" si="4"/>
        <v>39800000</v>
      </c>
      <c r="G23" s="50">
        <f t="shared" si="0"/>
        <v>95200000</v>
      </c>
      <c r="H23" s="49" t="str">
        <f t="shared" si="1"/>
        <v>🟢 On Track</v>
      </c>
      <c r="I23" s="49" t="str">
        <f t="shared" si="2"/>
        <v>✓ SAFE</v>
      </c>
      <c r="K23">
        <f t="shared" si="3"/>
        <v>135000000</v>
      </c>
    </row>
    <row r="24" spans="1:11" x14ac:dyDescent="0.35">
      <c r="A24" s="49">
        <v>21</v>
      </c>
      <c r="B24" s="49" t="s">
        <v>106</v>
      </c>
      <c r="C24" s="49" t="s">
        <v>86</v>
      </c>
      <c r="D24" s="49" t="s">
        <v>84</v>
      </c>
      <c r="E24" s="50">
        <f>IF(C24="Sprint",Assumptions!$B$39,Assumptions!$B$38)+IF(D24="European",Assumptions!$B$40,Assumptions!$B$41)</f>
        <v>2600000</v>
      </c>
      <c r="F24" s="50">
        <f t="shared" si="4"/>
        <v>42400000</v>
      </c>
      <c r="G24" s="50">
        <f t="shared" si="0"/>
        <v>92600000</v>
      </c>
      <c r="H24" s="49" t="str">
        <f t="shared" si="1"/>
        <v>🟢 On Track</v>
      </c>
      <c r="I24" s="49" t="str">
        <f t="shared" si="2"/>
        <v>✓ SAFE</v>
      </c>
      <c r="K24">
        <f t="shared" si="3"/>
        <v>135000000</v>
      </c>
    </row>
    <row r="25" spans="1:11" x14ac:dyDescent="0.35">
      <c r="A25" s="49">
        <v>22</v>
      </c>
      <c r="B25" s="49" t="s">
        <v>107</v>
      </c>
      <c r="C25" s="49" t="s">
        <v>83</v>
      </c>
      <c r="D25" s="49" t="s">
        <v>84</v>
      </c>
      <c r="E25" s="50">
        <f>IF(C25="Sprint",Assumptions!$B$39,Assumptions!$B$38)+IF(D25="European",Assumptions!$B$40,Assumptions!$B$41)</f>
        <v>2200000</v>
      </c>
      <c r="F25" s="50">
        <f t="shared" si="4"/>
        <v>44600000</v>
      </c>
      <c r="G25" s="50">
        <f t="shared" si="0"/>
        <v>90400000</v>
      </c>
      <c r="H25" s="49" t="str">
        <f t="shared" si="1"/>
        <v>🟢 On Track</v>
      </c>
      <c r="I25" s="49" t="str">
        <f t="shared" si="2"/>
        <v>✓ SAFE</v>
      </c>
      <c r="K25">
        <f t="shared" si="3"/>
        <v>135000000</v>
      </c>
    </row>
    <row r="26" spans="1:11" x14ac:dyDescent="0.35">
      <c r="A26" s="49">
        <v>23</v>
      </c>
      <c r="B26" s="49" t="s">
        <v>108</v>
      </c>
      <c r="C26" s="49" t="s">
        <v>86</v>
      </c>
      <c r="D26" s="49" t="s">
        <v>84</v>
      </c>
      <c r="E26" s="50">
        <f>IF(C26="Sprint",Assumptions!$B$39,Assumptions!$B$38)+IF(D26="European",Assumptions!$B$40,Assumptions!$B$41)</f>
        <v>2600000</v>
      </c>
      <c r="F26" s="50">
        <f t="shared" si="4"/>
        <v>47200000</v>
      </c>
      <c r="G26" s="50">
        <f t="shared" si="0"/>
        <v>87800000</v>
      </c>
      <c r="H26" s="49" t="str">
        <f t="shared" si="1"/>
        <v>🟢 On Track</v>
      </c>
      <c r="I26" s="49" t="str">
        <f t="shared" si="2"/>
        <v>✓ SAFE</v>
      </c>
      <c r="K26">
        <f t="shared" si="3"/>
        <v>135000000</v>
      </c>
    </row>
    <row r="27" spans="1:11" x14ac:dyDescent="0.35">
      <c r="A27" s="49">
        <v>24</v>
      </c>
      <c r="B27" s="49" t="s">
        <v>109</v>
      </c>
      <c r="C27" s="49" t="s">
        <v>83</v>
      </c>
      <c r="D27" s="49" t="s">
        <v>84</v>
      </c>
      <c r="E27" s="50">
        <f>IF(C27="Sprint",Assumptions!$B$39,Assumptions!$B$38)+IF(D27="European",Assumptions!$B$40,Assumptions!$B$41)</f>
        <v>2200000</v>
      </c>
      <c r="F27" s="50">
        <f t="shared" si="4"/>
        <v>49400000</v>
      </c>
      <c r="G27" s="50">
        <f t="shared" si="0"/>
        <v>85600000</v>
      </c>
      <c r="H27" s="49" t="str">
        <f t="shared" si="1"/>
        <v>🟢 On Track</v>
      </c>
      <c r="I27" s="49" t="str">
        <f t="shared" si="2"/>
        <v>✓ SAFE</v>
      </c>
      <c r="K27">
        <f t="shared" si="3"/>
        <v>135000000</v>
      </c>
    </row>
    <row r="28" spans="1:11" x14ac:dyDescent="0.35">
      <c r="A28" s="51" t="s">
        <v>66</v>
      </c>
      <c r="B28" s="51"/>
      <c r="C28" s="51"/>
      <c r="D28" s="51"/>
      <c r="E28" s="52">
        <f>SUM(E4:E27)</f>
        <v>49400000</v>
      </c>
      <c r="F28" s="52"/>
      <c r="G28" s="52"/>
      <c r="H28" s="51"/>
      <c r="I28" s="51"/>
    </row>
    <row r="30" spans="1:11" ht="29" x14ac:dyDescent="0.35">
      <c r="A30" s="54" t="s">
        <v>110</v>
      </c>
      <c r="B30" s="53">
        <f>F27</f>
        <v>49400000</v>
      </c>
    </row>
    <row r="31" spans="1:11" x14ac:dyDescent="0.35">
      <c r="A31" s="54" t="s">
        <v>111</v>
      </c>
      <c r="B31" s="53">
        <f>CapLimit</f>
        <v>135000000</v>
      </c>
    </row>
    <row r="32" spans="1:11" ht="29" x14ac:dyDescent="0.35">
      <c r="A32" s="54" t="s">
        <v>112</v>
      </c>
      <c r="B32" s="53">
        <f>B31-B30</f>
        <v>85600000</v>
      </c>
    </row>
    <row r="33" spans="1:2" x14ac:dyDescent="0.35">
      <c r="A33" s="54" t="s">
        <v>113</v>
      </c>
      <c r="B33" s="53">
        <f>F27/TotalRaces</f>
        <v>2058333.3333333333</v>
      </c>
    </row>
    <row r="34" spans="1:2" x14ac:dyDescent="0.35">
      <c r="A34" s="54" t="s">
        <v>114</v>
      </c>
      <c r="B34" s="53">
        <f>MAX(E4:E27)</f>
        <v>2600000</v>
      </c>
    </row>
    <row r="35" spans="1:2" x14ac:dyDescent="0.35">
      <c r="A35" s="54" t="s">
        <v>115</v>
      </c>
      <c r="B35" s="53">
        <f>MIN(E4:E27)</f>
        <v>1600000</v>
      </c>
    </row>
    <row r="36" spans="1:2" ht="29" x14ac:dyDescent="0.35">
      <c r="A36" s="54" t="s">
        <v>116</v>
      </c>
      <c r="B36" s="53">
        <f>SUMIF(C4:C27,"Sprint",E4:E27)</f>
        <v>13000000</v>
      </c>
    </row>
    <row r="37" spans="1:2" ht="29" x14ac:dyDescent="0.35">
      <c r="A37" s="54" t="s">
        <v>117</v>
      </c>
      <c r="B37" s="53">
        <f>SUMIF(C4:C27,"Standard",E4:E27)</f>
        <v>36400000</v>
      </c>
    </row>
  </sheetData>
  <mergeCells count="2">
    <mergeCell ref="A1:I1"/>
    <mergeCell ref="A3:I3"/>
  </mergeCells>
  <conditionalFormatting sqref="A4:I28">
    <cfRule type="expression" dxfId="14" priority="1">
      <formula>$C4="Sprint"</formula>
    </cfRule>
    <cfRule type="expression" dxfId="13" priority="2">
      <formula>MOD(ROW(),2)=0</formula>
    </cfRule>
  </conditionalFormatting>
  <pageMargins left="0.7" right="0.7" top="0.75" bottom="0.75" header="0.3" footer="0.3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43DD-D1A6-44D1-B476-7F57354B2F4C}">
  <sheetPr>
    <pageSetUpPr fitToPage="1"/>
  </sheetPr>
  <dimension ref="A1:F33"/>
  <sheetViews>
    <sheetView workbookViewId="0">
      <selection activeCell="A2" sqref="A2:F2"/>
    </sheetView>
  </sheetViews>
  <sheetFormatPr defaultRowHeight="14.5" x14ac:dyDescent="0.35"/>
  <cols>
    <col min="1" max="1" width="28.6328125" customWidth="1"/>
    <col min="2" max="2" width="20.6328125" customWidth="1"/>
    <col min="3" max="3" width="22.6328125" customWidth="1"/>
    <col min="4" max="4" width="20.6328125" customWidth="1"/>
    <col min="5" max="5" width="22.6328125" customWidth="1"/>
    <col min="6" max="6" width="20.6328125" customWidth="1"/>
  </cols>
  <sheetData>
    <row r="1" spans="1:6" s="2" customFormat="1" ht="18.5" x14ac:dyDescent="0.45">
      <c r="A1" s="98" t="s">
        <v>120</v>
      </c>
      <c r="B1" s="98"/>
      <c r="C1" s="98"/>
      <c r="D1" s="98"/>
      <c r="E1" s="98"/>
      <c r="F1" s="98"/>
    </row>
    <row r="2" spans="1:6" x14ac:dyDescent="0.35">
      <c r="A2" s="99" t="s">
        <v>121</v>
      </c>
      <c r="B2" s="99"/>
      <c r="C2" s="99"/>
      <c r="D2" s="99"/>
      <c r="E2" s="99"/>
      <c r="F2" s="99"/>
    </row>
    <row r="4" spans="1:6" s="55" customFormat="1" x14ac:dyDescent="0.35">
      <c r="A4" s="56" t="s">
        <v>59</v>
      </c>
      <c r="B4" s="57" t="s">
        <v>122</v>
      </c>
      <c r="C4" s="57" t="s">
        <v>123</v>
      </c>
      <c r="D4" s="57" t="s">
        <v>124</v>
      </c>
      <c r="E4" s="57" t="s">
        <v>125</v>
      </c>
      <c r="F4" s="58" t="s">
        <v>126</v>
      </c>
    </row>
    <row r="5" spans="1:6" x14ac:dyDescent="0.35">
      <c r="A5" s="19" t="s">
        <v>32</v>
      </c>
      <c r="B5" s="46">
        <f>'Budget Allocator'!E4</f>
        <v>42000000</v>
      </c>
      <c r="C5" s="32" t="s">
        <v>127</v>
      </c>
      <c r="D5" s="59">
        <v>-0.35</v>
      </c>
      <c r="E5" s="32">
        <v>-0.08</v>
      </c>
      <c r="F5" s="60">
        <f>ROUND((B5/CapLimit)*100*1.8,1)</f>
        <v>56</v>
      </c>
    </row>
    <row r="6" spans="1:6" x14ac:dyDescent="0.35">
      <c r="A6" s="19" t="s">
        <v>34</v>
      </c>
      <c r="B6" s="46">
        <f>'Budget Allocator'!E5</f>
        <v>28000000</v>
      </c>
      <c r="C6" s="32" t="s">
        <v>128</v>
      </c>
      <c r="D6" s="32">
        <v>87</v>
      </c>
      <c r="E6" s="32">
        <v>3.2</v>
      </c>
      <c r="F6" s="60">
        <f>ROUND((B6/CapLimit)*100*2.2,1)</f>
        <v>45.6</v>
      </c>
    </row>
    <row r="7" spans="1:6" x14ac:dyDescent="0.35">
      <c r="A7" s="19" t="s">
        <v>35</v>
      </c>
      <c r="B7" s="46">
        <f>'Budget Allocator'!E6</f>
        <v>22000000</v>
      </c>
      <c r="C7" s="32" t="s">
        <v>129</v>
      </c>
      <c r="D7" s="32">
        <v>94</v>
      </c>
      <c r="E7" s="32">
        <v>2.1</v>
      </c>
      <c r="F7" s="60">
        <f>ROUND((B7/CapLimit)*100*1.6,1)</f>
        <v>26.1</v>
      </c>
    </row>
    <row r="8" spans="1:6" x14ac:dyDescent="0.35">
      <c r="A8" s="19" t="s">
        <v>36</v>
      </c>
      <c r="B8" s="46">
        <f>'Budget Allocator'!E7</f>
        <v>18000000</v>
      </c>
      <c r="C8" s="32" t="s">
        <v>130</v>
      </c>
      <c r="D8" s="32">
        <v>82</v>
      </c>
      <c r="E8" s="32">
        <v>1.8</v>
      </c>
      <c r="F8" s="60">
        <f>ROUND((B8/CapLimit)*100*1.4,1)</f>
        <v>18.7</v>
      </c>
    </row>
    <row r="9" spans="1:6" ht="29" x14ac:dyDescent="0.35">
      <c r="A9" s="19" t="s">
        <v>37</v>
      </c>
      <c r="B9" s="46">
        <f>'Budget Allocator'!E8</f>
        <v>12000000</v>
      </c>
      <c r="C9" s="32" t="s">
        <v>131</v>
      </c>
      <c r="D9" s="32">
        <v>78</v>
      </c>
      <c r="E9" s="32">
        <v>2.5</v>
      </c>
      <c r="F9" s="60">
        <f>ROUND((B9/CapLimit)*100*1.9,1)</f>
        <v>16.899999999999999</v>
      </c>
    </row>
    <row r="10" spans="1:6" x14ac:dyDescent="0.35">
      <c r="A10" s="19" t="s">
        <v>38</v>
      </c>
      <c r="B10" s="46">
        <f>'Budget Allocator'!E9</f>
        <v>8000000</v>
      </c>
      <c r="C10" s="32" t="s">
        <v>132</v>
      </c>
      <c r="D10" s="32">
        <v>65</v>
      </c>
      <c r="E10" s="32">
        <v>4</v>
      </c>
      <c r="F10" s="60">
        <f>ROUND((B10/CapLimit)*100*0.8,1)</f>
        <v>4.7</v>
      </c>
    </row>
    <row r="11" spans="1:6" x14ac:dyDescent="0.35">
      <c r="A11" s="62" t="s">
        <v>133</v>
      </c>
      <c r="B11" s="63">
        <f>SUM(B5:B10)</f>
        <v>130000000</v>
      </c>
      <c r="C11" s="17"/>
      <c r="D11" s="17"/>
      <c r="E11" s="17"/>
      <c r="F11" s="64">
        <f>AVERAGE(F5:F10)</f>
        <v>27.999999999999996</v>
      </c>
    </row>
    <row r="13" spans="1:6" ht="63" x14ac:dyDescent="0.35">
      <c r="A13" s="65" t="s">
        <v>134</v>
      </c>
      <c r="B13" s="66">
        <f>F11</f>
        <v>27.999999999999996</v>
      </c>
    </row>
    <row r="14" spans="1:6" x14ac:dyDescent="0.35">
      <c r="A14" s="19" t="s">
        <v>23</v>
      </c>
      <c r="B14" s="25" t="str">
        <f>ActiveScenario</f>
        <v>Base Case</v>
      </c>
    </row>
    <row r="15" spans="1:6" x14ac:dyDescent="0.35">
      <c r="A15" s="19" t="s">
        <v>135</v>
      </c>
      <c r="B15" s="67">
        <f>B11</f>
        <v>130000000</v>
      </c>
    </row>
    <row r="16" spans="1:6" ht="29" x14ac:dyDescent="0.35">
      <c r="A16" s="26" t="s">
        <v>136</v>
      </c>
      <c r="B16" s="31" t="str">
        <f>IF(F11&gt;=70,"🟢 Strong — Efficient spend-to-performance conversion",IF(F11&gt;=55,"🟡 Moderate — Room to optimise allocation",IF(F11&gt;=40,"🔴 Weak — Consider rebalancing departments","⚠ Critical — Major reallocation needed")))</f>
        <v>⚠ Critical — Major reallocation needed</v>
      </c>
    </row>
    <row r="19" spans="1:6" s="4" customFormat="1" x14ac:dyDescent="0.35">
      <c r="A19" s="100" t="s">
        <v>137</v>
      </c>
      <c r="B19" s="100"/>
      <c r="C19" s="100"/>
      <c r="D19" s="100"/>
      <c r="E19" s="100"/>
      <c r="F19" s="100"/>
    </row>
    <row r="20" spans="1:6" s="1" customFormat="1" x14ac:dyDescent="0.35">
      <c r="A20" s="69" t="s">
        <v>138</v>
      </c>
      <c r="B20" s="70" t="s">
        <v>139</v>
      </c>
      <c r="C20" s="70" t="s">
        <v>140</v>
      </c>
      <c r="D20" s="70" t="s">
        <v>141</v>
      </c>
      <c r="E20" s="70" t="s">
        <v>159</v>
      </c>
      <c r="F20" s="71" t="s">
        <v>142</v>
      </c>
    </row>
    <row r="21" spans="1:6" ht="29" x14ac:dyDescent="0.35">
      <c r="A21" s="19" t="s">
        <v>143</v>
      </c>
      <c r="B21" s="32">
        <f>B5-10000000</f>
        <v>32000000</v>
      </c>
      <c r="C21" s="32">
        <f>D5-(E5*1)</f>
        <v>-0.26999999999999996</v>
      </c>
      <c r="D21" s="32">
        <f>C21-D5</f>
        <v>8.0000000000000016E-2</v>
      </c>
      <c r="E21" s="32">
        <f>F5*0.85</f>
        <v>47.6</v>
      </c>
      <c r="F21" s="25" t="s">
        <v>144</v>
      </c>
    </row>
    <row r="22" spans="1:6" x14ac:dyDescent="0.35">
      <c r="A22" s="19" t="s">
        <v>145</v>
      </c>
      <c r="B22" s="32">
        <f>B5</f>
        <v>42000000</v>
      </c>
      <c r="C22" s="32">
        <f>D5</f>
        <v>-0.35</v>
      </c>
      <c r="D22" s="32">
        <v>0</v>
      </c>
      <c r="E22" s="32">
        <f>F5</f>
        <v>56</v>
      </c>
      <c r="F22" s="25" t="s">
        <v>146</v>
      </c>
    </row>
    <row r="23" spans="1:6" x14ac:dyDescent="0.35">
      <c r="A23" s="19" t="s">
        <v>147</v>
      </c>
      <c r="B23" s="32">
        <f>B5+10000000</f>
        <v>52000000</v>
      </c>
      <c r="C23" s="32">
        <f>D5+(E5*1)</f>
        <v>-0.43</v>
      </c>
      <c r="D23" s="32">
        <f>C23-D5</f>
        <v>-8.0000000000000016E-2</v>
      </c>
      <c r="E23" s="32">
        <f>F5*1.12</f>
        <v>62.720000000000006</v>
      </c>
      <c r="F23" s="25" t="s">
        <v>148</v>
      </c>
    </row>
    <row r="24" spans="1:6" ht="29" x14ac:dyDescent="0.35">
      <c r="A24" s="19" t="s">
        <v>149</v>
      </c>
      <c r="B24" s="32">
        <f>B5+20000000</f>
        <v>62000000</v>
      </c>
      <c r="C24" s="32">
        <f>D5+(E5*2)</f>
        <v>-0.51</v>
      </c>
      <c r="D24" s="32">
        <f>C24-D5</f>
        <v>-0.16000000000000003</v>
      </c>
      <c r="E24" s="32">
        <f>F5*1.22</f>
        <v>68.319999999999993</v>
      </c>
      <c r="F24" s="25" t="s">
        <v>150</v>
      </c>
    </row>
    <row r="25" spans="1:6" x14ac:dyDescent="0.35">
      <c r="A25" s="26" t="s">
        <v>151</v>
      </c>
      <c r="B25" s="43">
        <f>B5+30000000</f>
        <v>72000000</v>
      </c>
      <c r="C25" s="43">
        <f>D5+(E5*3)</f>
        <v>-0.59</v>
      </c>
      <c r="D25" s="43">
        <f>C25-D5</f>
        <v>-0.24</v>
      </c>
      <c r="E25" s="43">
        <f>F5*1.3</f>
        <v>72.8</v>
      </c>
      <c r="F25" s="31" t="s">
        <v>152</v>
      </c>
    </row>
    <row r="28" spans="1:6" s="4" customFormat="1" x14ac:dyDescent="0.35">
      <c r="A28" s="100" t="s">
        <v>153</v>
      </c>
      <c r="B28" s="100"/>
      <c r="C28" s="100"/>
      <c r="D28" s="100"/>
    </row>
    <row r="29" spans="1:6" x14ac:dyDescent="0.35">
      <c r="A29" s="72" t="s">
        <v>154</v>
      </c>
      <c r="B29" s="73">
        <f>ROUND(F11*4.2,0)</f>
        <v>118</v>
      </c>
    </row>
    <row r="30" spans="1:6" x14ac:dyDescent="0.35">
      <c r="A30" s="74" t="s">
        <v>155</v>
      </c>
      <c r="B30" s="88">
        <f>ROUND(('Scenario Analysis'!C15*4.2),0)</f>
        <v>121</v>
      </c>
    </row>
    <row r="31" spans="1:6" x14ac:dyDescent="0.35">
      <c r="A31" s="74" t="s">
        <v>156</v>
      </c>
      <c r="B31" s="88">
        <f>ROUND(('Scenario Analysis'!D15*4.2),0)</f>
        <v>116</v>
      </c>
    </row>
    <row r="32" spans="1:6" x14ac:dyDescent="0.35">
      <c r="A32" s="74" t="s">
        <v>157</v>
      </c>
      <c r="B32" s="75">
        <v>666</v>
      </c>
    </row>
    <row r="33" spans="1:2" x14ac:dyDescent="0.35">
      <c r="A33" s="76" t="s">
        <v>158</v>
      </c>
      <c r="B33" s="77"/>
    </row>
  </sheetData>
  <mergeCells count="4">
    <mergeCell ref="A1:F1"/>
    <mergeCell ref="A2:F2"/>
    <mergeCell ref="A19:F19"/>
    <mergeCell ref="A28:D28"/>
  </mergeCells>
  <conditionalFormatting sqref="F5:F10">
    <cfRule type="cellIs" dxfId="12" priority="1" operator="lessThan">
      <formula>40</formula>
    </cfRule>
    <cfRule type="cellIs" dxfId="11" priority="2" operator="between">
      <formula>40</formula>
      <formula>60</formula>
    </cfRule>
    <cfRule type="cellIs" dxfId="10" priority="3" operator="greaterThan">
      <formula>60</formula>
    </cfRule>
  </conditionalFormatting>
  <pageMargins left="0.7" right="0.7" top="0.75" bottom="0.75" header="0.3" footer="0.3"/>
  <pageSetup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161C-6150-4E63-BB5C-A624A7721E61}">
  <sheetPr>
    <pageSetUpPr fitToPage="1"/>
  </sheetPr>
  <dimension ref="A1:G38"/>
  <sheetViews>
    <sheetView topLeftCell="A55" workbookViewId="0">
      <selection activeCell="G55" sqref="G55"/>
    </sheetView>
  </sheetViews>
  <sheetFormatPr defaultRowHeight="14.5" x14ac:dyDescent="0.35"/>
  <cols>
    <col min="1" max="1" width="28.6328125" customWidth="1"/>
    <col min="2" max="6" width="18.6328125" customWidth="1"/>
    <col min="7" max="7" width="20.6328125" customWidth="1"/>
  </cols>
  <sheetData>
    <row r="1" spans="1:7" s="4" customFormat="1" ht="18.5" x14ac:dyDescent="0.45">
      <c r="A1" s="96" t="s">
        <v>160</v>
      </c>
      <c r="B1" s="96"/>
      <c r="C1" s="96"/>
      <c r="D1" s="96"/>
      <c r="E1" s="96"/>
      <c r="F1" s="96"/>
      <c r="G1" s="96"/>
    </row>
    <row r="2" spans="1:7" x14ac:dyDescent="0.35">
      <c r="A2" s="106" t="s">
        <v>161</v>
      </c>
      <c r="B2" s="106"/>
      <c r="C2" s="106"/>
      <c r="D2" s="106"/>
      <c r="E2" s="106"/>
      <c r="F2" s="106"/>
      <c r="G2" s="106"/>
    </row>
    <row r="4" spans="1:7" s="1" customFormat="1" x14ac:dyDescent="0.35">
      <c r="A4" s="69" t="s">
        <v>162</v>
      </c>
      <c r="B4" s="70" t="s">
        <v>163</v>
      </c>
      <c r="C4" s="70" t="s">
        <v>196</v>
      </c>
      <c r="D4" s="70" t="s">
        <v>164</v>
      </c>
      <c r="E4" s="70" t="s">
        <v>165</v>
      </c>
      <c r="F4" s="70" t="s">
        <v>166</v>
      </c>
      <c r="G4" s="71" t="s">
        <v>167</v>
      </c>
    </row>
    <row r="5" spans="1:7" ht="29" customHeight="1" x14ac:dyDescent="0.35">
      <c r="A5" s="103" t="s">
        <v>168</v>
      </c>
      <c r="B5" s="104"/>
      <c r="C5" s="104"/>
      <c r="D5" s="104"/>
      <c r="E5" s="104"/>
      <c r="F5" s="104"/>
      <c r="G5" s="105"/>
    </row>
    <row r="6" spans="1:7" x14ac:dyDescent="0.35">
      <c r="A6" s="19" t="s">
        <v>32</v>
      </c>
      <c r="B6" s="32">
        <f>'Budget Allocator'!E4/1000000</f>
        <v>42</v>
      </c>
      <c r="C6" s="32">
        <v>58</v>
      </c>
      <c r="D6" s="32">
        <v>50</v>
      </c>
      <c r="E6" s="32">
        <v>55</v>
      </c>
      <c r="F6" s="32">
        <v>28</v>
      </c>
      <c r="G6" s="25"/>
    </row>
    <row r="7" spans="1:7" x14ac:dyDescent="0.35">
      <c r="A7" s="19" t="s">
        <v>34</v>
      </c>
      <c r="B7" s="32">
        <f>'Budget Allocator'!E5/1000000</f>
        <v>28</v>
      </c>
      <c r="C7" s="32">
        <v>32</v>
      </c>
      <c r="D7" s="32">
        <v>30</v>
      </c>
      <c r="E7" s="32">
        <v>29</v>
      </c>
      <c r="F7" s="32">
        <v>22</v>
      </c>
      <c r="G7" s="25"/>
    </row>
    <row r="8" spans="1:7" x14ac:dyDescent="0.35">
      <c r="A8" s="19" t="s">
        <v>35</v>
      </c>
      <c r="B8" s="32">
        <f>'Budget Allocator'!E6/1000000</f>
        <v>22</v>
      </c>
      <c r="C8" s="32">
        <v>18</v>
      </c>
      <c r="D8" s="32">
        <v>20</v>
      </c>
      <c r="E8" s="32">
        <v>19</v>
      </c>
      <c r="F8" s="32">
        <v>25</v>
      </c>
      <c r="G8" s="25"/>
    </row>
    <row r="9" spans="1:7" x14ac:dyDescent="0.35">
      <c r="A9" s="19" t="s">
        <v>36</v>
      </c>
      <c r="B9" s="32">
        <f>'Budget Allocator'!E7/1000000</f>
        <v>18</v>
      </c>
      <c r="C9" s="32">
        <v>12</v>
      </c>
      <c r="D9" s="32">
        <v>15</v>
      </c>
      <c r="E9" s="32">
        <v>14</v>
      </c>
      <c r="F9" s="32">
        <v>18</v>
      </c>
      <c r="G9" s="25"/>
    </row>
    <row r="10" spans="1:7" x14ac:dyDescent="0.35">
      <c r="A10" s="19" t="s">
        <v>169</v>
      </c>
      <c r="B10" s="32">
        <f>'Budget Allocator'!E8/1000000</f>
        <v>12</v>
      </c>
      <c r="C10" s="32">
        <v>10</v>
      </c>
      <c r="D10" s="32">
        <v>12</v>
      </c>
      <c r="E10" s="32">
        <v>10</v>
      </c>
      <c r="F10" s="32">
        <v>8</v>
      </c>
      <c r="G10" s="25"/>
    </row>
    <row r="11" spans="1:7" x14ac:dyDescent="0.35">
      <c r="A11" s="19" t="s">
        <v>38</v>
      </c>
      <c r="B11" s="32">
        <f>'Budget Allocator'!E9/1000000</f>
        <v>8</v>
      </c>
      <c r="C11" s="32">
        <v>5</v>
      </c>
      <c r="D11" s="32">
        <v>8</v>
      </c>
      <c r="E11" s="32">
        <v>8</v>
      </c>
      <c r="F11" s="32">
        <v>9</v>
      </c>
      <c r="G11" s="25"/>
    </row>
    <row r="12" spans="1:7" x14ac:dyDescent="0.35">
      <c r="A12" s="61" t="s">
        <v>170</v>
      </c>
      <c r="B12" s="42">
        <f>SUM(B6:B11)</f>
        <v>130</v>
      </c>
      <c r="C12" s="42">
        <f t="shared" ref="C12:F12" si="0">SUM(C6:C11)</f>
        <v>135</v>
      </c>
      <c r="D12" s="42">
        <f t="shared" si="0"/>
        <v>135</v>
      </c>
      <c r="E12" s="42">
        <f t="shared" si="0"/>
        <v>135</v>
      </c>
      <c r="F12" s="42">
        <f t="shared" si="0"/>
        <v>110</v>
      </c>
      <c r="G12" s="81"/>
    </row>
    <row r="13" spans="1:7" x14ac:dyDescent="0.35">
      <c r="A13" s="32"/>
      <c r="B13" s="32"/>
      <c r="C13" s="32"/>
      <c r="D13" s="32"/>
      <c r="E13" s="32"/>
      <c r="F13" s="32"/>
      <c r="G13" s="32"/>
    </row>
    <row r="14" spans="1:7" s="2" customFormat="1" x14ac:dyDescent="0.35">
      <c r="A14" s="107" t="s">
        <v>171</v>
      </c>
      <c r="B14" s="108"/>
      <c r="C14" s="108"/>
      <c r="D14" s="108"/>
      <c r="E14" s="108"/>
      <c r="F14" s="108"/>
      <c r="G14" s="109"/>
    </row>
    <row r="15" spans="1:7" x14ac:dyDescent="0.35">
      <c r="A15" s="19" t="s">
        <v>172</v>
      </c>
      <c r="B15" s="32">
        <v>666</v>
      </c>
      <c r="C15" s="32">
        <v>589</v>
      </c>
      <c r="D15" s="32">
        <v>468</v>
      </c>
      <c r="E15" s="32">
        <v>652</v>
      </c>
      <c r="F15" s="32">
        <v>94</v>
      </c>
      <c r="G15" s="25"/>
    </row>
    <row r="16" spans="1:7" x14ac:dyDescent="0.35">
      <c r="A16" s="19" t="s">
        <v>173</v>
      </c>
      <c r="B16" s="32">
        <v>6</v>
      </c>
      <c r="C16" s="32">
        <v>8</v>
      </c>
      <c r="D16" s="32">
        <v>4</v>
      </c>
      <c r="E16" s="32">
        <v>5</v>
      </c>
      <c r="F16" s="32">
        <v>0</v>
      </c>
      <c r="G16" s="25"/>
    </row>
    <row r="17" spans="1:7" x14ac:dyDescent="0.35">
      <c r="A17" s="19" t="s">
        <v>174</v>
      </c>
      <c r="B17" s="32">
        <v>22</v>
      </c>
      <c r="C17" s="32">
        <v>26</v>
      </c>
      <c r="D17" s="32">
        <v>14</v>
      </c>
      <c r="E17" s="32">
        <v>19</v>
      </c>
      <c r="F17" s="32">
        <v>2</v>
      </c>
      <c r="G17" s="25"/>
    </row>
    <row r="18" spans="1:7" x14ac:dyDescent="0.35">
      <c r="A18" s="26" t="s">
        <v>175</v>
      </c>
      <c r="B18" s="43">
        <v>8</v>
      </c>
      <c r="C18" s="43">
        <v>9</v>
      </c>
      <c r="D18" s="43">
        <v>11</v>
      </c>
      <c r="E18" s="43">
        <v>10</v>
      </c>
      <c r="F18" s="43">
        <v>14</v>
      </c>
      <c r="G18" s="31"/>
    </row>
    <row r="19" spans="1:7" x14ac:dyDescent="0.35">
      <c r="A19" s="32"/>
      <c r="B19" s="32"/>
      <c r="C19" s="32"/>
      <c r="D19" s="32"/>
      <c r="E19" s="32"/>
      <c r="F19" s="32"/>
      <c r="G19" s="32"/>
    </row>
    <row r="20" spans="1:7" s="2" customFormat="1" x14ac:dyDescent="0.35">
      <c r="A20" s="107" t="s">
        <v>176</v>
      </c>
      <c r="B20" s="108"/>
      <c r="C20" s="108"/>
      <c r="D20" s="108"/>
      <c r="E20" s="108"/>
      <c r="F20" s="108"/>
      <c r="G20" s="109"/>
    </row>
    <row r="21" spans="1:7" x14ac:dyDescent="0.35">
      <c r="A21" s="19" t="s">
        <v>177</v>
      </c>
      <c r="B21" s="32">
        <f>ROUND(B15/B12,1)</f>
        <v>5.0999999999999996</v>
      </c>
      <c r="C21" s="32">
        <f>ROUND(C15/C12,1)</f>
        <v>4.4000000000000004</v>
      </c>
      <c r="D21" s="32">
        <f>ROUND(D15/D12,1)</f>
        <v>3.5</v>
      </c>
      <c r="E21" s="32">
        <f>ROUND(E15/E12,1)</f>
        <v>4.8</v>
      </c>
      <c r="F21" s="32">
        <f>ROUND(F15/F12,1)</f>
        <v>0.9</v>
      </c>
      <c r="G21" s="25">
        <f>RANK(B21,B21:F21,0)</f>
        <v>1</v>
      </c>
    </row>
    <row r="22" spans="1:7" x14ac:dyDescent="0.35">
      <c r="A22" s="19" t="s">
        <v>178</v>
      </c>
      <c r="B22" s="32">
        <f>ROUND(B16/(B12/10),2)</f>
        <v>0.46</v>
      </c>
      <c r="C22" s="32">
        <f>ROUND(C16/(C12/10),2)</f>
        <v>0.59</v>
      </c>
      <c r="D22" s="32">
        <f>ROUND(D16/(D12/10),2)</f>
        <v>0.3</v>
      </c>
      <c r="E22" s="32">
        <f>ROUND(E16/(E12/10),2)</f>
        <v>0.37</v>
      </c>
      <c r="F22" s="32">
        <f>ROUND(F16/(F12/10),2)</f>
        <v>0</v>
      </c>
      <c r="G22" s="25">
        <f>RANK(B22,B22:F22,0)</f>
        <v>2</v>
      </c>
    </row>
    <row r="23" spans="1:7" x14ac:dyDescent="0.35">
      <c r="A23" s="19" t="s">
        <v>179</v>
      </c>
      <c r="B23" s="32">
        <f>ROUND(100-(B18/24*100),1)</f>
        <v>66.7</v>
      </c>
      <c r="C23" s="32">
        <f>ROUND(100-(C18/24*100),1)</f>
        <v>62.5</v>
      </c>
      <c r="D23" s="32">
        <f>ROUND(100-(D18/24*100),1)</f>
        <v>54.2</v>
      </c>
      <c r="E23" s="32">
        <f>ROUND(100-(E18/24*100),1)</f>
        <v>58.3</v>
      </c>
      <c r="F23" s="32">
        <f>ROUND(100-(F18/24*100),1)</f>
        <v>41.7</v>
      </c>
      <c r="G23" s="25">
        <f>RANK(B23,B23:F23,0)</f>
        <v>1</v>
      </c>
    </row>
    <row r="24" spans="1:7" x14ac:dyDescent="0.35">
      <c r="A24" s="26" t="s">
        <v>180</v>
      </c>
      <c r="B24" s="43">
        <f>ROUND(B6/B12*100,1)</f>
        <v>32.299999999999997</v>
      </c>
      <c r="C24" s="43">
        <f>ROUND(C6/C12*100,1)</f>
        <v>43</v>
      </c>
      <c r="D24" s="43">
        <f>ROUND(D6/D12*100,1)</f>
        <v>37</v>
      </c>
      <c r="E24" s="43">
        <f>ROUND(E6/E12*100,1)</f>
        <v>40.700000000000003</v>
      </c>
      <c r="F24" s="43">
        <f>ROUND(F6/F12*100,1)</f>
        <v>25.5</v>
      </c>
      <c r="G24" s="31" t="str">
        <f>IF(B24&gt;AVERAGE(C24:F24),"Above avg","Below avg")</f>
        <v>Below avg</v>
      </c>
    </row>
    <row r="25" spans="1:7" x14ac:dyDescent="0.35">
      <c r="A25" s="32"/>
      <c r="B25" s="32"/>
      <c r="C25" s="32"/>
      <c r="D25" s="32"/>
      <c r="E25" s="32"/>
      <c r="F25" s="32"/>
      <c r="G25" s="32"/>
    </row>
    <row r="26" spans="1:7" ht="43.5" x14ac:dyDescent="0.35">
      <c r="A26" s="12" t="s">
        <v>181</v>
      </c>
      <c r="B26" s="18" t="str">
        <f>IF(AVERAGE(G21:G24)&lt;=2,"🟢 Top Tier — Leading on efficiency metrics",IF(AVERAGE(G21:G24)&lt;=3,"🟡 Competitive — Mid-pack efficiency",IF(AVERAGE(G21:G24)&lt;=4,"🔴 Trailing — Efficiency gaps vs top teams","⚠ Significant gap — Strategic reallocation needed")))</f>
        <v>🟢 Top Tier — Leading on efficiency metrics</v>
      </c>
      <c r="C26" s="32"/>
      <c r="D26" s="32"/>
      <c r="E26" s="32"/>
      <c r="F26" s="32"/>
      <c r="G26" s="32"/>
    </row>
    <row r="27" spans="1:7" x14ac:dyDescent="0.35">
      <c r="A27" s="32"/>
      <c r="B27" s="32"/>
      <c r="C27" s="32"/>
      <c r="D27" s="32"/>
      <c r="E27" s="32"/>
      <c r="F27" s="32"/>
      <c r="G27" s="32"/>
    </row>
    <row r="28" spans="1:7" s="2" customFormat="1" x14ac:dyDescent="0.35">
      <c r="A28" s="110" t="s">
        <v>182</v>
      </c>
      <c r="B28" s="110"/>
      <c r="C28" s="110"/>
      <c r="D28" s="110"/>
      <c r="E28" s="110"/>
      <c r="F28" s="110"/>
      <c r="G28" s="110"/>
    </row>
    <row r="29" spans="1:7" s="4" customFormat="1" x14ac:dyDescent="0.35">
      <c r="A29" s="56" t="s">
        <v>59</v>
      </c>
      <c r="B29" s="57" t="s">
        <v>183</v>
      </c>
      <c r="C29" s="57" t="s">
        <v>184</v>
      </c>
      <c r="D29" s="57" t="s">
        <v>185</v>
      </c>
      <c r="E29" s="57" t="s">
        <v>186</v>
      </c>
      <c r="F29" s="58" t="s">
        <v>187</v>
      </c>
      <c r="G29" s="78"/>
    </row>
    <row r="30" spans="1:7" ht="29" x14ac:dyDescent="0.35">
      <c r="A30" s="79" t="s">
        <v>32</v>
      </c>
      <c r="B30" s="32">
        <f t="shared" ref="B30:B35" si="1">B6</f>
        <v>42</v>
      </c>
      <c r="C30" s="32">
        <f t="shared" ref="C30:C35" si="2">AVERAGE(C6,E6)</f>
        <v>56.5</v>
      </c>
      <c r="D30" s="32">
        <f>B30-C30</f>
        <v>-14.5</v>
      </c>
      <c r="E30" s="32">
        <f>ROUND(D30/C30*100,1)</f>
        <v>-25.7</v>
      </c>
      <c r="F30" s="25" t="s">
        <v>188</v>
      </c>
      <c r="G30" s="32"/>
    </row>
    <row r="31" spans="1:7" ht="29" x14ac:dyDescent="0.35">
      <c r="A31" s="79" t="s">
        <v>34</v>
      </c>
      <c r="B31" s="32">
        <f t="shared" si="1"/>
        <v>28</v>
      </c>
      <c r="C31" s="32">
        <f t="shared" si="2"/>
        <v>30.5</v>
      </c>
      <c r="D31" s="32">
        <f t="shared" ref="D31:D35" si="3">B31-C31</f>
        <v>-2.5</v>
      </c>
      <c r="E31" s="32">
        <f t="shared" ref="E31:E35" si="4">ROUND(D31/C31*100,1)</f>
        <v>-8.1999999999999993</v>
      </c>
      <c r="F31" s="25" t="s">
        <v>189</v>
      </c>
      <c r="G31" s="32"/>
    </row>
    <row r="32" spans="1:7" ht="43.5" x14ac:dyDescent="0.35">
      <c r="A32" s="79" t="s">
        <v>35</v>
      </c>
      <c r="B32" s="32">
        <f t="shared" si="1"/>
        <v>22</v>
      </c>
      <c r="C32" s="32">
        <f t="shared" si="2"/>
        <v>18.5</v>
      </c>
      <c r="D32" s="32">
        <f t="shared" si="3"/>
        <v>3.5</v>
      </c>
      <c r="E32" s="32">
        <f t="shared" si="4"/>
        <v>18.899999999999999</v>
      </c>
      <c r="F32" s="25" t="s">
        <v>190</v>
      </c>
      <c r="G32" s="32"/>
    </row>
    <row r="33" spans="1:7" ht="29" x14ac:dyDescent="0.35">
      <c r="A33" s="79" t="s">
        <v>36</v>
      </c>
      <c r="B33" s="32">
        <f t="shared" si="1"/>
        <v>18</v>
      </c>
      <c r="C33" s="32">
        <f t="shared" si="2"/>
        <v>13</v>
      </c>
      <c r="D33" s="32">
        <f t="shared" si="3"/>
        <v>5</v>
      </c>
      <c r="E33" s="32">
        <f t="shared" si="4"/>
        <v>38.5</v>
      </c>
      <c r="F33" s="25" t="s">
        <v>191</v>
      </c>
      <c r="G33" s="32"/>
    </row>
    <row r="34" spans="1:7" ht="29" x14ac:dyDescent="0.35">
      <c r="A34" s="79" t="s">
        <v>169</v>
      </c>
      <c r="B34" s="32">
        <f t="shared" si="1"/>
        <v>12</v>
      </c>
      <c r="C34" s="32">
        <f t="shared" si="2"/>
        <v>10</v>
      </c>
      <c r="D34" s="32">
        <f t="shared" si="3"/>
        <v>2</v>
      </c>
      <c r="E34" s="32">
        <f t="shared" si="4"/>
        <v>20</v>
      </c>
      <c r="F34" s="25" t="s">
        <v>192</v>
      </c>
      <c r="G34" s="32"/>
    </row>
    <row r="35" spans="1:7" ht="29" x14ac:dyDescent="0.35">
      <c r="A35" s="61" t="s">
        <v>38</v>
      </c>
      <c r="B35" s="43">
        <f t="shared" si="1"/>
        <v>8</v>
      </c>
      <c r="C35" s="43">
        <f t="shared" si="2"/>
        <v>6.5</v>
      </c>
      <c r="D35" s="43">
        <f t="shared" si="3"/>
        <v>1.5</v>
      </c>
      <c r="E35" s="43">
        <f t="shared" si="4"/>
        <v>23.1</v>
      </c>
      <c r="F35" s="31" t="s">
        <v>193</v>
      </c>
      <c r="G35" s="32"/>
    </row>
    <row r="38" spans="1:7" ht="29.5" customHeight="1" x14ac:dyDescent="0.35">
      <c r="A38" s="80" t="s">
        <v>194</v>
      </c>
      <c r="B38" s="101" t="s">
        <v>195</v>
      </c>
      <c r="C38" s="101"/>
      <c r="D38" s="101"/>
      <c r="E38" s="101"/>
      <c r="F38" s="101"/>
      <c r="G38" s="102"/>
    </row>
  </sheetData>
  <mergeCells count="7">
    <mergeCell ref="B38:G38"/>
    <mergeCell ref="A5:G5"/>
    <mergeCell ref="A1:G1"/>
    <mergeCell ref="A2:G2"/>
    <mergeCell ref="A14:G14"/>
    <mergeCell ref="A20:G20"/>
    <mergeCell ref="A28:G28"/>
  </mergeCells>
  <conditionalFormatting sqref="D30:D35">
    <cfRule type="cellIs" dxfId="9" priority="1" operator="lessThan">
      <formula>0</formula>
    </cfRule>
    <cfRule type="cellIs" dxfId="8" priority="2" operator="greaterThan">
      <formula>0</formula>
    </cfRule>
  </conditionalFormatting>
  <conditionalFormatting sqref="G21:G24">
    <cfRule type="cellIs" dxfId="7" priority="3" operator="greaterThanOrEqual">
      <formula>4</formula>
    </cfRule>
    <cfRule type="cellIs" dxfId="6" priority="4" operator="equal">
      <formula>2</formula>
    </cfRule>
    <cfRule type="cellIs" dxfId="5" priority="5" operator="equal">
      <formula>1</formula>
    </cfRule>
  </conditionalFormatting>
  <pageMargins left="0.7" right="0.7" top="0.75" bottom="0.75" header="0.3" footer="0.3"/>
  <pageSetup scale="3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7515-5EE0-40A5-8614-3A91530851D4}">
  <sheetPr>
    <pageSetUpPr fitToPage="1"/>
  </sheetPr>
  <dimension ref="A1:E30"/>
  <sheetViews>
    <sheetView topLeftCell="A15" workbookViewId="0">
      <selection activeCell="A28" sqref="A28"/>
    </sheetView>
  </sheetViews>
  <sheetFormatPr defaultRowHeight="14.5" x14ac:dyDescent="0.35"/>
  <cols>
    <col min="1" max="1" width="32.6328125" customWidth="1"/>
    <col min="2" max="4" width="22.6328125" customWidth="1"/>
    <col min="5" max="5" width="25.6328125" customWidth="1"/>
  </cols>
  <sheetData>
    <row r="1" spans="1:5" s="2" customFormat="1" ht="18.5" x14ac:dyDescent="0.45">
      <c r="A1" s="98" t="s">
        <v>197</v>
      </c>
      <c r="B1" s="98"/>
      <c r="C1" s="98"/>
      <c r="D1" s="98"/>
      <c r="E1" s="98"/>
    </row>
    <row r="2" spans="1:5" x14ac:dyDescent="0.35">
      <c r="A2" s="106" t="s">
        <v>198</v>
      </c>
      <c r="B2" s="106"/>
      <c r="C2" s="106"/>
      <c r="D2" s="106"/>
      <c r="E2" s="106"/>
    </row>
    <row r="4" spans="1:5" s="4" customFormat="1" x14ac:dyDescent="0.35">
      <c r="A4" s="83" t="s">
        <v>199</v>
      </c>
      <c r="B4" s="83" t="s">
        <v>200</v>
      </c>
      <c r="C4" s="83" t="s">
        <v>201</v>
      </c>
      <c r="D4" s="83" t="s">
        <v>202</v>
      </c>
      <c r="E4" s="83" t="s">
        <v>203</v>
      </c>
    </row>
    <row r="5" spans="1:5" s="82" customFormat="1" x14ac:dyDescent="0.35">
      <c r="A5" s="113" t="s">
        <v>204</v>
      </c>
      <c r="B5" s="114"/>
      <c r="C5" s="114"/>
      <c r="D5" s="114"/>
      <c r="E5" s="115"/>
    </row>
    <row r="6" spans="1:5" ht="29" x14ac:dyDescent="0.35">
      <c r="A6" s="19" t="s">
        <v>32</v>
      </c>
      <c r="B6" s="32">
        <f>'Budget Allocator'!B4/1000000</f>
        <v>42</v>
      </c>
      <c r="C6" s="32">
        <f>'Budget Allocator'!C4/1000000</f>
        <v>52</v>
      </c>
      <c r="D6" s="32">
        <f>'Budget Allocator'!D4/1000000</f>
        <v>35</v>
      </c>
      <c r="E6" s="25" t="s">
        <v>205</v>
      </c>
    </row>
    <row r="7" spans="1:5" ht="29" x14ac:dyDescent="0.35">
      <c r="A7" s="19" t="s">
        <v>34</v>
      </c>
      <c r="B7" s="32">
        <f>'Budget Allocator'!B5/1000000</f>
        <v>28</v>
      </c>
      <c r="C7" s="32">
        <f>'Budget Allocator'!C5/1000000</f>
        <v>30</v>
      </c>
      <c r="D7" s="32">
        <f>'Budget Allocator'!D5/1000000</f>
        <v>25</v>
      </c>
      <c r="E7" s="25" t="s">
        <v>206</v>
      </c>
    </row>
    <row r="8" spans="1:5" ht="29" x14ac:dyDescent="0.35">
      <c r="A8" s="19" t="s">
        <v>35</v>
      </c>
      <c r="B8" s="32">
        <f>'Budget Allocator'!B6/1000000</f>
        <v>22</v>
      </c>
      <c r="C8" s="32">
        <f>'Budget Allocator'!C6/1000000</f>
        <v>15</v>
      </c>
      <c r="D8" s="32">
        <f>'Budget Allocator'!D6/1000000</f>
        <v>32</v>
      </c>
      <c r="E8" s="25" t="s">
        <v>207</v>
      </c>
    </row>
    <row r="9" spans="1:5" ht="29" x14ac:dyDescent="0.35">
      <c r="A9" s="19" t="s">
        <v>36</v>
      </c>
      <c r="B9" s="32">
        <f>'Budget Allocator'!B7/1000000</f>
        <v>18</v>
      </c>
      <c r="C9" s="32">
        <f>'Budget Allocator'!C7/1000000</f>
        <v>18</v>
      </c>
      <c r="D9" s="32">
        <f>'Budget Allocator'!D7/1000000</f>
        <v>18</v>
      </c>
      <c r="E9" s="25" t="s">
        <v>208</v>
      </c>
    </row>
    <row r="10" spans="1:5" ht="29" x14ac:dyDescent="0.35">
      <c r="A10" s="19" t="s">
        <v>37</v>
      </c>
      <c r="B10" s="32">
        <f>'Budget Allocator'!B8/1000000</f>
        <v>12</v>
      </c>
      <c r="C10" s="32">
        <f>'Budget Allocator'!C8/1000000</f>
        <v>12</v>
      </c>
      <c r="D10" s="32">
        <f>'Budget Allocator'!D8/1000000</f>
        <v>12</v>
      </c>
      <c r="E10" s="25" t="s">
        <v>209</v>
      </c>
    </row>
    <row r="11" spans="1:5" ht="29" x14ac:dyDescent="0.35">
      <c r="A11" s="19" t="s">
        <v>38</v>
      </c>
      <c r="B11" s="32">
        <f>'Budget Allocator'!B9/1000000</f>
        <v>8</v>
      </c>
      <c r="C11" s="32">
        <f>'Budget Allocator'!C9/1000000</f>
        <v>3</v>
      </c>
      <c r="D11" s="32">
        <f>'Budget Allocator'!D9/1000000</f>
        <v>8</v>
      </c>
      <c r="E11" s="25" t="s">
        <v>210</v>
      </c>
    </row>
    <row r="12" spans="1:5" ht="29" x14ac:dyDescent="0.35">
      <c r="A12" s="61" t="s">
        <v>66</v>
      </c>
      <c r="B12" s="43">
        <f>SUM(B6:B11)</f>
        <v>130</v>
      </c>
      <c r="C12" s="43">
        <f t="shared" ref="C12:D12" si="0">SUM(C6:C11)</f>
        <v>130</v>
      </c>
      <c r="D12" s="43">
        <f t="shared" si="0"/>
        <v>130</v>
      </c>
      <c r="E12" s="31" t="s">
        <v>211</v>
      </c>
    </row>
    <row r="13" spans="1:5" x14ac:dyDescent="0.35">
      <c r="A13" s="32"/>
      <c r="B13" s="32"/>
      <c r="C13" s="32"/>
      <c r="D13" s="32"/>
      <c r="E13" s="32"/>
    </row>
    <row r="14" spans="1:5" s="4" customFormat="1" x14ac:dyDescent="0.35">
      <c r="A14" s="116" t="s">
        <v>212</v>
      </c>
      <c r="B14" s="117"/>
      <c r="C14" s="117"/>
      <c r="D14" s="117"/>
      <c r="E14" s="118"/>
    </row>
    <row r="15" spans="1:5" ht="29" x14ac:dyDescent="0.35">
      <c r="A15" s="19" t="s">
        <v>213</v>
      </c>
      <c r="B15" s="32">
        <f>'Performance Bridge'!F11</f>
        <v>27.999999999999996</v>
      </c>
      <c r="C15" s="32">
        <f>ROUND(AVERAGE('Budget Allocator'!C4/CapLimit*100*1.8,'Budget Allocator'!C5/CapLimit*100*2.2,'Budget Allocator'!C6/CapLimit*100*1.6,'Budget Allocator'!C7/CapLimit*100*1.4,'Budget Allocator'!C8/CapLimit*100*1.9,'Budget Allocator'!C9/CapLimit*100*0.8),1)</f>
        <v>28.9</v>
      </c>
      <c r="D15" s="32">
        <f>ROUND(AVERAGE('Budget Allocator'!D4/CapLimit*100*1.8,'Budget Allocator'!D5/CapLimit*100*2.2,'Budget Allocator'!D6/CapLimit*100*1.6,'Budget Allocator'!D7/CapLimit*100*1.4,'Budget Allocator'!D8/CapLimit*100*1.9,'Budget Allocator'!D9/CapLimit*100*0.8),1)</f>
        <v>27.6</v>
      </c>
      <c r="E15" s="25" t="s">
        <v>217</v>
      </c>
    </row>
    <row r="16" spans="1:5" ht="29" x14ac:dyDescent="0.35">
      <c r="A16" s="19" t="s">
        <v>214</v>
      </c>
      <c r="B16" s="32">
        <f>ROUND(B15*4.2,0)</f>
        <v>118</v>
      </c>
      <c r="C16" s="32">
        <f>ROUND(C15*4.2,0)</f>
        <v>121</v>
      </c>
      <c r="D16" s="32">
        <f>ROUND(D15*4.2,0)</f>
        <v>116</v>
      </c>
      <c r="E16" s="25" t="s">
        <v>218</v>
      </c>
    </row>
    <row r="17" spans="1:5" ht="29" x14ac:dyDescent="0.35">
      <c r="A17" s="19" t="s">
        <v>215</v>
      </c>
      <c r="B17" s="32">
        <v>-0.35</v>
      </c>
      <c r="C17" s="32">
        <f>ROUND(-0.35+(('Budget Allocator'!C4-'Budget Allocator'!B4)/10000000*-0.08),2)</f>
        <v>-0.43</v>
      </c>
      <c r="D17" s="32">
        <f>ROUND(-0.35+(('Budget Allocator'!D4-'Budget Allocator'!B4)/10000000*-0.08),2)</f>
        <v>-0.28999999999999998</v>
      </c>
      <c r="E17" s="25" t="s">
        <v>219</v>
      </c>
    </row>
    <row r="18" spans="1:5" ht="29" x14ac:dyDescent="0.35">
      <c r="A18" s="26" t="s">
        <v>216</v>
      </c>
      <c r="B18" s="43">
        <f>'Budget Allocator'!B9/1000000</f>
        <v>8</v>
      </c>
      <c r="C18" s="43">
        <f>'Budget Allocator'!C9/1000000</f>
        <v>3</v>
      </c>
      <c r="D18" s="43">
        <f>'Budget Allocator'!D9/1000000</f>
        <v>8</v>
      </c>
      <c r="E18" s="31" t="s">
        <v>220</v>
      </c>
    </row>
    <row r="19" spans="1:5" x14ac:dyDescent="0.35">
      <c r="A19" s="32"/>
      <c r="B19" s="32"/>
      <c r="C19" s="32"/>
      <c r="D19" s="32"/>
      <c r="E19" s="32"/>
    </row>
    <row r="20" spans="1:5" s="4" customFormat="1" x14ac:dyDescent="0.35">
      <c r="A20" s="116" t="s">
        <v>221</v>
      </c>
      <c r="B20" s="117"/>
      <c r="C20" s="117"/>
      <c r="D20" s="117"/>
      <c r="E20" s="118"/>
    </row>
    <row r="21" spans="1:5" ht="29" x14ac:dyDescent="0.35">
      <c r="A21" s="19" t="s">
        <v>222</v>
      </c>
      <c r="B21" s="32" t="s">
        <v>223</v>
      </c>
      <c r="C21" s="32" t="s">
        <v>224</v>
      </c>
      <c r="D21" s="32" t="s">
        <v>223</v>
      </c>
      <c r="E21" s="25" t="s">
        <v>225</v>
      </c>
    </row>
    <row r="22" spans="1:5" ht="29" x14ac:dyDescent="0.35">
      <c r="A22" s="19" t="s">
        <v>226</v>
      </c>
      <c r="B22" s="32" t="s">
        <v>223</v>
      </c>
      <c r="C22" s="32" t="s">
        <v>224</v>
      </c>
      <c r="D22" s="32" t="s">
        <v>227</v>
      </c>
      <c r="E22" s="25" t="s">
        <v>228</v>
      </c>
    </row>
    <row r="23" spans="1:5" ht="29" x14ac:dyDescent="0.35">
      <c r="A23" s="19" t="s">
        <v>229</v>
      </c>
      <c r="B23" s="32" t="s">
        <v>223</v>
      </c>
      <c r="C23" s="32" t="s">
        <v>230</v>
      </c>
      <c r="D23" s="32" t="s">
        <v>223</v>
      </c>
      <c r="E23" s="25" t="s">
        <v>231</v>
      </c>
    </row>
    <row r="24" spans="1:5" ht="29" x14ac:dyDescent="0.35">
      <c r="A24" s="19" t="s">
        <v>232</v>
      </c>
      <c r="B24" s="32" t="s">
        <v>224</v>
      </c>
      <c r="C24" s="32" t="s">
        <v>223</v>
      </c>
      <c r="D24" s="32" t="s">
        <v>230</v>
      </c>
      <c r="E24" s="25" t="s">
        <v>233</v>
      </c>
    </row>
    <row r="25" spans="1:5" x14ac:dyDescent="0.35">
      <c r="A25" s="26" t="s">
        <v>234</v>
      </c>
      <c r="B25" s="43" t="s">
        <v>235</v>
      </c>
      <c r="C25" s="43" t="s">
        <v>236</v>
      </c>
      <c r="D25" s="43" t="s">
        <v>237</v>
      </c>
      <c r="E25" s="31" t="s">
        <v>238</v>
      </c>
    </row>
    <row r="26" spans="1:5" x14ac:dyDescent="0.35">
      <c r="A26" s="32"/>
      <c r="B26" s="32"/>
      <c r="C26" s="32"/>
      <c r="D26" s="32"/>
      <c r="E26" s="32"/>
    </row>
    <row r="27" spans="1:5" s="4" customFormat="1" x14ac:dyDescent="0.35">
      <c r="A27" s="116" t="s">
        <v>239</v>
      </c>
      <c r="B27" s="117"/>
      <c r="C27" s="117"/>
      <c r="D27" s="117"/>
      <c r="E27" s="118"/>
    </row>
    <row r="28" spans="1:5" x14ac:dyDescent="0.35">
      <c r="A28" s="19" t="s">
        <v>240</v>
      </c>
      <c r="B28" s="32" t="str">
        <f>IF(AND(B15&gt;=C15,B15&gt;=D15),"Base Case",IF(AND(C15&gt;=B15,C15&gt;=D15),"Aggressive Development","Operations Focus"))</f>
        <v>Aggressive Development</v>
      </c>
      <c r="C28" s="32"/>
      <c r="D28" s="32"/>
      <c r="E28" s="25"/>
    </row>
    <row r="29" spans="1:5" ht="52" customHeight="1" x14ac:dyDescent="0.35">
      <c r="A29" s="19" t="s">
        <v>241</v>
      </c>
      <c r="B29" s="111" t="s">
        <v>242</v>
      </c>
      <c r="C29" s="111"/>
      <c r="D29" s="111"/>
      <c r="E29" s="112"/>
    </row>
    <row r="30" spans="1:5" ht="29" x14ac:dyDescent="0.35">
      <c r="A30" s="26" t="s">
        <v>243</v>
      </c>
      <c r="B30" s="43" t="str">
        <f>IF(ActiveScenario=B28,"✓ Currently running recommended scenario","⚠ Consider switching to "&amp;B28)</f>
        <v>⚠ Consider switching to Aggressive Development</v>
      </c>
      <c r="C30" s="43"/>
      <c r="D30" s="43"/>
      <c r="E30" s="31"/>
    </row>
  </sheetData>
  <mergeCells count="7">
    <mergeCell ref="B29:E29"/>
    <mergeCell ref="A1:E1"/>
    <mergeCell ref="A2:E2"/>
    <mergeCell ref="A5:E5"/>
    <mergeCell ref="A14:E14"/>
    <mergeCell ref="A20:E20"/>
    <mergeCell ref="A27:E27"/>
  </mergeCells>
  <pageMargins left="0.7" right="0.7" top="0.75" bottom="0.75" header="0.3" footer="0.3"/>
  <pageSetup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9F80-1579-48A0-9B8C-BFD525AE58C8}">
  <sheetPr>
    <pageSetUpPr fitToPage="1"/>
  </sheetPr>
  <dimension ref="A1:L30"/>
  <sheetViews>
    <sheetView showGridLines="0" zoomScale="90" zoomScaleNormal="90" workbookViewId="0">
      <selection sqref="A1:L1"/>
    </sheetView>
  </sheetViews>
  <sheetFormatPr defaultColWidth="12.6328125" defaultRowHeight="14.5" x14ac:dyDescent="0.35"/>
  <cols>
    <col min="1" max="1" width="13.08984375" customWidth="1"/>
  </cols>
  <sheetData>
    <row r="1" spans="1:12" s="2" customFormat="1" ht="40" customHeight="1" x14ac:dyDescent="0.35">
      <c r="A1" s="156" t="s">
        <v>54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2" s="4" customFormat="1" ht="20" customHeight="1" x14ac:dyDescent="0.35">
      <c r="A2" s="157" t="s">
        <v>244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</row>
    <row r="3" spans="1:12" s="2" customFormat="1" ht="15" customHeight="1" x14ac:dyDescent="0.35">
      <c r="A3" s="158" t="s">
        <v>68</v>
      </c>
      <c r="B3" s="158"/>
      <c r="C3" s="158"/>
      <c r="D3" s="158"/>
      <c r="E3" s="158"/>
      <c r="F3" s="158"/>
      <c r="G3" s="158"/>
      <c r="H3" s="158"/>
      <c r="I3" s="158" t="str">
        <f>ActiveScenario</f>
        <v>Base Case</v>
      </c>
      <c r="J3" s="158"/>
      <c r="K3" s="158"/>
      <c r="L3" s="158"/>
    </row>
    <row r="4" spans="1:12" s="84" customFormat="1" ht="15" customHeight="1" x14ac:dyDescent="0.35">
      <c r="A4" s="159" t="s">
        <v>245</v>
      </c>
      <c r="B4" s="159"/>
      <c r="C4" s="159"/>
      <c r="D4" s="159"/>
      <c r="E4" s="159"/>
      <c r="F4" s="159"/>
      <c r="G4" s="159"/>
      <c r="H4" s="159"/>
      <c r="I4" s="159" t="str">
        <f>Assumptions!B24</f>
        <v>Balanced allocation optimising both development and reliability</v>
      </c>
      <c r="J4" s="159"/>
      <c r="K4" s="159"/>
      <c r="L4" s="159"/>
    </row>
    <row r="5" spans="1:12" ht="15" customHeight="1" x14ac:dyDescent="0.35">
      <c r="L5" s="85" t="str">
        <f ca="1">"Last Updated: "&amp;TEXT(TODAY(),"DD-MMM-YYYY")</f>
        <v>Last Updated: 23-Mar-2026</v>
      </c>
    </row>
    <row r="6" spans="1:12" ht="35" customHeight="1" x14ac:dyDescent="0.35">
      <c r="A6" s="150" t="s">
        <v>246</v>
      </c>
      <c r="B6" s="150"/>
      <c r="C6" s="150"/>
      <c r="D6" s="150" t="s">
        <v>67</v>
      </c>
      <c r="E6" s="150"/>
      <c r="F6" s="150"/>
      <c r="G6" s="150" t="s">
        <v>247</v>
      </c>
      <c r="H6" s="150"/>
      <c r="I6" s="150"/>
      <c r="J6" s="150" t="s">
        <v>248</v>
      </c>
      <c r="K6" s="150"/>
      <c r="L6" s="150"/>
    </row>
    <row r="7" spans="1:12" ht="35" customHeight="1" x14ac:dyDescent="0.35">
      <c r="A7" s="154">
        <f>'Budget Allocator'!E11</f>
        <v>130000000</v>
      </c>
      <c r="B7" s="154"/>
      <c r="C7" s="154"/>
      <c r="D7" s="155" t="str">
        <f>'Budget Allocator'!B13</f>
        <v>✓ WITHIN CAP — HEADROOM: $50,00,000</v>
      </c>
      <c r="E7" s="155"/>
      <c r="F7" s="155"/>
      <c r="G7" s="151">
        <f>'Performance Bridge'!B13</f>
        <v>27.999999999999996</v>
      </c>
      <c r="H7" s="151"/>
      <c r="I7" s="151"/>
      <c r="J7" s="153">
        <f>'Performance Bridge'!B29</f>
        <v>118</v>
      </c>
      <c r="K7" s="153"/>
      <c r="L7" s="153"/>
    </row>
    <row r="8" spans="1:12" ht="35" customHeight="1" x14ac:dyDescent="0.35">
      <c r="A8" s="154"/>
      <c r="B8" s="154"/>
      <c r="C8" s="154"/>
      <c r="D8" s="155"/>
      <c r="E8" s="155"/>
      <c r="F8" s="155"/>
      <c r="G8" s="151"/>
      <c r="H8" s="151"/>
      <c r="I8" s="151"/>
      <c r="J8" s="153"/>
      <c r="K8" s="153"/>
      <c r="L8" s="153"/>
    </row>
    <row r="9" spans="1:12" ht="35" customHeight="1" x14ac:dyDescent="0.35">
      <c r="A9" s="154"/>
      <c r="B9" s="154"/>
      <c r="C9" s="154"/>
      <c r="D9" s="155"/>
      <c r="E9" s="155"/>
      <c r="F9" s="155"/>
      <c r="G9" s="151"/>
      <c r="H9" s="151"/>
      <c r="I9" s="151"/>
      <c r="J9" s="153"/>
      <c r="K9" s="153"/>
      <c r="L9" s="153"/>
    </row>
    <row r="10" spans="1:12" ht="35" customHeight="1" x14ac:dyDescent="0.35">
      <c r="A10" s="152" t="str">
        <f>"of $135M cap ("&amp;TEXT('Budget Allocator'!F11,"0.0%")&amp;" deployed)"</f>
        <v>of $135M cap (96.3% deployed)</v>
      </c>
      <c r="B10" s="152"/>
      <c r="C10" s="152"/>
      <c r="D10" s="152" t="str">
        <f>"Headroom: $"&amp;TEXT(CapLimit-'Budget Allocator'!E11,"#,##0")</f>
        <v>Headroom: $50,00,000</v>
      </c>
      <c r="E10" s="152"/>
      <c r="F10" s="152"/>
      <c r="G10" s="152" t="str">
        <f>'Performance Bridge'!B16</f>
        <v>⚠ Critical — Major reallocation needed</v>
      </c>
      <c r="H10" s="152"/>
      <c r="I10" s="152"/>
      <c r="J10" s="152" t="str">
        <f>"McLaren 2024 actual: 666 pts"</f>
        <v>McLaren 2024 actual: 666 pts</v>
      </c>
      <c r="K10" s="152"/>
      <c r="L10" s="152"/>
    </row>
    <row r="11" spans="1:12" ht="18" customHeight="1" x14ac:dyDescent="0.35">
      <c r="A11" s="140" t="s">
        <v>249</v>
      </c>
      <c r="B11" s="141"/>
      <c r="C11" s="147"/>
      <c r="D11" s="140" t="s">
        <v>250</v>
      </c>
      <c r="E11" s="141"/>
      <c r="F11" s="141"/>
      <c r="G11" s="141"/>
      <c r="H11" s="147"/>
      <c r="I11" s="140" t="s">
        <v>251</v>
      </c>
      <c r="J11" s="141"/>
      <c r="K11" s="141"/>
      <c r="L11" s="147"/>
    </row>
    <row r="12" spans="1:12" ht="18" customHeight="1" x14ac:dyDescent="0.35">
      <c r="A12" s="61" t="s">
        <v>59</v>
      </c>
      <c r="B12" s="42" t="s">
        <v>252</v>
      </c>
      <c r="C12" s="81" t="s">
        <v>64</v>
      </c>
      <c r="D12" s="61" t="s">
        <v>253</v>
      </c>
      <c r="E12" s="148" t="s">
        <v>254</v>
      </c>
      <c r="F12" s="148"/>
      <c r="G12" s="148"/>
      <c r="H12" s="149"/>
      <c r="I12" s="142" t="s">
        <v>262</v>
      </c>
      <c r="J12" s="142"/>
      <c r="K12" s="142"/>
      <c r="L12" s="142"/>
    </row>
    <row r="13" spans="1:12" ht="32.5" customHeight="1" x14ac:dyDescent="0.35">
      <c r="A13" s="19" t="str">
        <f>'Budget Allocator'!A4</f>
        <v>Aerodynamic R&amp;D</v>
      </c>
      <c r="B13" s="32">
        <f>'Budget Allocator'!E4/1000000</f>
        <v>42</v>
      </c>
      <c r="C13" s="25">
        <f>'Budget Allocator'!F4</f>
        <v>0.31111111111111112</v>
      </c>
      <c r="D13" s="19">
        <f>'Performance Bridge'!F5</f>
        <v>56</v>
      </c>
      <c r="E13" s="111" t="s">
        <v>255</v>
      </c>
      <c r="F13" s="111"/>
      <c r="G13" s="137">
        <f>'Burn Tracker'!B30</f>
        <v>49400000</v>
      </c>
      <c r="H13" s="146"/>
      <c r="I13" s="39"/>
      <c r="J13" s="17" t="s">
        <v>272</v>
      </c>
      <c r="K13" s="17" t="s">
        <v>264</v>
      </c>
      <c r="L13" s="18" t="s">
        <v>265</v>
      </c>
    </row>
    <row r="14" spans="1:12" ht="58.5" customHeight="1" x14ac:dyDescent="0.35">
      <c r="A14" s="19" t="str">
        <f>'Budget Allocator'!A5</f>
        <v>Manufacturing &amp; Production</v>
      </c>
      <c r="B14" s="32">
        <f>'Budget Allocator'!E5/1000000</f>
        <v>28</v>
      </c>
      <c r="C14" s="25">
        <f>'Budget Allocator'!F5</f>
        <v>0.2074074074074074</v>
      </c>
      <c r="D14" s="19">
        <f>'Performance Bridge'!F6</f>
        <v>45.6</v>
      </c>
      <c r="E14" s="111" t="s">
        <v>113</v>
      </c>
      <c r="F14" s="111"/>
      <c r="G14" s="137">
        <f>'Burn Tracker'!B33</f>
        <v>2058333.3333333333</v>
      </c>
      <c r="H14" s="146"/>
      <c r="I14" s="91" t="s">
        <v>263</v>
      </c>
      <c r="J14" s="32">
        <f>Benchmarking!B21</f>
        <v>5.0999999999999996</v>
      </c>
      <c r="K14" s="32">
        <f>MAX(Benchmarking!C21:F21)</f>
        <v>4.8</v>
      </c>
      <c r="L14" s="25">
        <f>Benchmarking!G21</f>
        <v>1</v>
      </c>
    </row>
    <row r="15" spans="1:12" ht="54" customHeight="1" x14ac:dyDescent="0.35">
      <c r="A15" s="19" t="str">
        <f>'Budget Allocator'!A6</f>
        <v>Race Operations &amp; Logistics</v>
      </c>
      <c r="B15" s="32">
        <f>'Budget Allocator'!E6/1000000</f>
        <v>22</v>
      </c>
      <c r="C15" s="25">
        <f>'Budget Allocator'!F6</f>
        <v>0.16296296296296298</v>
      </c>
      <c r="D15" s="19">
        <f>'Performance Bridge'!F7</f>
        <v>26.1</v>
      </c>
      <c r="E15" s="111" t="s">
        <v>114</v>
      </c>
      <c r="F15" s="111"/>
      <c r="G15" s="137">
        <f>'Burn Tracker'!B34</f>
        <v>2600000</v>
      </c>
      <c r="H15" s="146"/>
      <c r="I15" s="91" t="s">
        <v>266</v>
      </c>
      <c r="J15" s="32">
        <f>Benchmarking!B22</f>
        <v>0.46</v>
      </c>
      <c r="K15" s="32">
        <f>MAX(Benchmarking!C22:F22)</f>
        <v>0.59</v>
      </c>
      <c r="L15" s="25">
        <f>Benchmarking!G22</f>
        <v>2</v>
      </c>
    </row>
    <row r="16" spans="1:12" ht="40" customHeight="1" x14ac:dyDescent="0.35">
      <c r="A16" s="19" t="str">
        <f>'Budget Allocator'!A7</f>
        <v>Trackside Engineering</v>
      </c>
      <c r="B16" s="32">
        <f>'Budget Allocator'!E7/1000000</f>
        <v>18</v>
      </c>
      <c r="C16" s="25">
        <f>'Budget Allocator'!F7</f>
        <v>0.13333333333333333</v>
      </c>
      <c r="D16" s="19">
        <f>'Performance Bridge'!F8</f>
        <v>18.7</v>
      </c>
      <c r="E16" s="111" t="s">
        <v>115</v>
      </c>
      <c r="F16" s="111"/>
      <c r="G16" s="137">
        <f>'Burn Tracker'!B35</f>
        <v>1600000</v>
      </c>
      <c r="H16" s="146"/>
      <c r="I16" s="45" t="s">
        <v>179</v>
      </c>
      <c r="J16" s="32">
        <f>Benchmarking!B23</f>
        <v>66.7</v>
      </c>
      <c r="K16" s="32">
        <f>MAX(Benchmarking!C23:F23)</f>
        <v>62.5</v>
      </c>
      <c r="L16" s="25">
        <f>Benchmarking!G23</f>
        <v>1</v>
      </c>
    </row>
    <row r="17" spans="1:12" ht="47" customHeight="1" x14ac:dyDescent="0.35">
      <c r="A17" s="19" t="str">
        <f>'Budget Allocator'!A8</f>
        <v>IT &amp; Simulation Infrastructure</v>
      </c>
      <c r="B17" s="32">
        <f>'Budget Allocator'!E8/1000000</f>
        <v>12</v>
      </c>
      <c r="C17" s="25">
        <f>'Budget Allocator'!F8</f>
        <v>8.8888888888888892E-2</v>
      </c>
      <c r="D17" s="19">
        <f>'Performance Bridge'!F9</f>
        <v>16.899999999999999</v>
      </c>
      <c r="E17" s="111" t="s">
        <v>256</v>
      </c>
      <c r="F17" s="111"/>
      <c r="G17" s="137">
        <f>'Burn Tracker'!B36</f>
        <v>13000000</v>
      </c>
      <c r="H17" s="137"/>
      <c r="I17" s="142" t="s">
        <v>267</v>
      </c>
      <c r="J17" s="142"/>
      <c r="K17" s="142"/>
      <c r="L17" s="142"/>
    </row>
    <row r="18" spans="1:12" ht="45" customHeight="1" x14ac:dyDescent="0.35">
      <c r="A18" s="19" t="str">
        <f>'Budget Allocator'!A9</f>
        <v>Contingency Reserve</v>
      </c>
      <c r="B18" s="32">
        <f>'Budget Allocator'!E9/1000000</f>
        <v>8</v>
      </c>
      <c r="C18" s="25">
        <f>'Budget Allocator'!F9</f>
        <v>5.9259259259259262E-2</v>
      </c>
      <c r="D18" s="19">
        <f>'Performance Bridge'!F10</f>
        <v>4.7</v>
      </c>
      <c r="E18" s="111" t="s">
        <v>257</v>
      </c>
      <c r="F18" s="111"/>
      <c r="G18" s="137">
        <f>'Burn Tracker'!B37</f>
        <v>36400000</v>
      </c>
      <c r="H18" s="137"/>
      <c r="I18" s="143" t="str">
        <f>Benchmarking!B26</f>
        <v>🟢 Top Tier — Leading on efficiency metrics</v>
      </c>
      <c r="J18" s="144"/>
      <c r="K18" s="144"/>
      <c r="L18" s="145"/>
    </row>
    <row r="19" spans="1:12" ht="37" customHeight="1" x14ac:dyDescent="0.35">
      <c r="A19" s="62" t="s">
        <v>66</v>
      </c>
      <c r="B19" s="37">
        <f>'Budget Allocator'!E11/1000000</f>
        <v>130</v>
      </c>
      <c r="C19" s="92">
        <f>'Budget Allocator'!F11</f>
        <v>0.96296296296296291</v>
      </c>
      <c r="D19" s="26">
        <f>AVERAGE('Performance Bridge'!F5:F10)</f>
        <v>27.999999999999996</v>
      </c>
      <c r="E19" s="144" t="s">
        <v>258</v>
      </c>
      <c r="F19" s="144"/>
      <c r="G19" s="138">
        <f>'Burn Tracker'!B32</f>
        <v>85600000</v>
      </c>
      <c r="H19" s="139"/>
    </row>
    <row r="20" spans="1:12" ht="18" customHeight="1" x14ac:dyDescent="0.35">
      <c r="I20" s="116" t="s">
        <v>268</v>
      </c>
      <c r="J20" s="117"/>
      <c r="K20" s="117"/>
      <c r="L20" s="118"/>
    </row>
    <row r="21" spans="1:12" ht="18" customHeight="1" x14ac:dyDescent="0.35">
      <c r="E21" s="140" t="s">
        <v>259</v>
      </c>
      <c r="F21" s="141"/>
      <c r="G21" s="141"/>
      <c r="H21" s="141"/>
      <c r="I21" s="86" t="s">
        <v>269</v>
      </c>
      <c r="J21" s="87">
        <f>Benchmarking!D30</f>
        <v>-14.5</v>
      </c>
      <c r="K21" s="133" t="str">
        <f>IF(Benchmarking!D30&lt;0,"Underspend ⚠","Overspend")</f>
        <v>Underspend ⚠</v>
      </c>
      <c r="L21" s="134"/>
    </row>
    <row r="22" spans="1:12" ht="18" customHeight="1" x14ac:dyDescent="0.35">
      <c r="E22" s="128" t="s">
        <v>111</v>
      </c>
      <c r="F22" s="129"/>
      <c r="G22" s="129">
        <f>CapLimit</f>
        <v>135000000</v>
      </c>
      <c r="H22" s="129"/>
      <c r="I22" s="86" t="s">
        <v>270</v>
      </c>
      <c r="J22" s="87">
        <f>Benchmarking!D32</f>
        <v>3.5</v>
      </c>
      <c r="K22" s="133" t="str">
        <f>IF(Benchmarking!D32&lt;0,"Underspend ⚠","Overspend")</f>
        <v>Overspend</v>
      </c>
      <c r="L22" s="134"/>
    </row>
    <row r="23" spans="1:12" ht="18" customHeight="1" x14ac:dyDescent="0.35">
      <c r="E23" s="128" t="s">
        <v>260</v>
      </c>
      <c r="F23" s="129"/>
      <c r="G23" s="129">
        <f>CapLimit-'Burn Tracker'!B30</f>
        <v>85600000</v>
      </c>
      <c r="H23" s="129"/>
      <c r="I23" s="89" t="s">
        <v>169</v>
      </c>
      <c r="J23" s="90">
        <f>Benchmarking!D34</f>
        <v>2</v>
      </c>
      <c r="K23" s="135" t="str">
        <f>IF(Benchmarking!D34&lt;0,"Underspend ⚠","Overspend")</f>
        <v>Overspend</v>
      </c>
      <c r="L23" s="136"/>
    </row>
    <row r="24" spans="1:12" ht="18" customHeight="1" x14ac:dyDescent="0.35">
      <c r="E24" s="130" t="s">
        <v>261</v>
      </c>
      <c r="F24" s="131"/>
      <c r="G24" s="131" t="str">
        <f>ROUND('Burn Tracker'!B30/CapLimit*100,1)&amp;"%"</f>
        <v>36.6%</v>
      </c>
      <c r="H24" s="132"/>
    </row>
    <row r="25" spans="1:12" ht="18" customHeight="1" x14ac:dyDescent="0.35"/>
    <row r="26" spans="1:12" ht="18" customHeight="1" x14ac:dyDescent="0.35">
      <c r="A26" s="119" t="s">
        <v>271</v>
      </c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1"/>
    </row>
    <row r="27" spans="1:12" ht="18" customHeight="1" x14ac:dyDescent="0.35">
      <c r="A27" s="122" t="str">
        <f>"Under the "&amp;ActiveScenario&amp;" scenario, McLaren deploys $"&amp;TEXT('Budget Allocator'!E11/1000000,"0.0")&amp;"M of the $135M FIA cost cap across 6 departments. The PROCS efficiency index stands at "&amp;TEXT('Performance Bridge'!B13,"0.0")&amp;", projecting "&amp;TEXT('Performance Bridge'!B29,"0")&amp;" championship points based on 2024 performance scaling. Season operational spend is estimated at $"&amp;TEXT('Burn Tracker'!B30/1000000,"0.0")&amp;"M across 24 races. "&amp;Benchmarking!B26&amp;"."</f>
        <v>Under the Base Case scenario, McLaren deploys $130.0M of the $135M FIA cost cap across 6 departments. The PROCS efficiency index stands at 28.0, projecting 118 championship points based on 2024 performance scaling. Season operational spend is estimated at $49.4M across 24 races. 🟢 Top Tier — Leading on efficiency metrics.</v>
      </c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4"/>
    </row>
    <row r="28" spans="1:12" ht="18" customHeight="1" x14ac:dyDescent="0.35">
      <c r="A28" s="122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4"/>
    </row>
    <row r="29" spans="1:12" ht="18" customHeight="1" x14ac:dyDescent="0.35">
      <c r="A29" s="122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4"/>
    </row>
    <row r="30" spans="1:12" ht="18" customHeight="1" x14ac:dyDescent="0.35">
      <c r="A30" s="125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7"/>
    </row>
  </sheetData>
  <mergeCells count="52">
    <mergeCell ref="A1:L1"/>
    <mergeCell ref="A2:L2"/>
    <mergeCell ref="A3:H3"/>
    <mergeCell ref="I3:L3"/>
    <mergeCell ref="A4:H4"/>
    <mergeCell ref="I4:L4"/>
    <mergeCell ref="A6:C6"/>
    <mergeCell ref="A7:C9"/>
    <mergeCell ref="A10:C10"/>
    <mergeCell ref="D6:F6"/>
    <mergeCell ref="D7:F9"/>
    <mergeCell ref="D10:F10"/>
    <mergeCell ref="G6:I6"/>
    <mergeCell ref="G7:I9"/>
    <mergeCell ref="G10:I10"/>
    <mergeCell ref="J6:L6"/>
    <mergeCell ref="J7:L9"/>
    <mergeCell ref="J10:L10"/>
    <mergeCell ref="G16:H16"/>
    <mergeCell ref="G17:H17"/>
    <mergeCell ref="D11:H11"/>
    <mergeCell ref="A11:C11"/>
    <mergeCell ref="I11:L11"/>
    <mergeCell ref="E12:H12"/>
    <mergeCell ref="E13:F13"/>
    <mergeCell ref="E14:F14"/>
    <mergeCell ref="G18:H18"/>
    <mergeCell ref="G19:H19"/>
    <mergeCell ref="E21:H21"/>
    <mergeCell ref="I12:L12"/>
    <mergeCell ref="I17:L17"/>
    <mergeCell ref="I18:L18"/>
    <mergeCell ref="I20:L20"/>
    <mergeCell ref="K21:L21"/>
    <mergeCell ref="E15:F15"/>
    <mergeCell ref="E16:F16"/>
    <mergeCell ref="E17:F17"/>
    <mergeCell ref="E18:F18"/>
    <mergeCell ref="E19:F19"/>
    <mergeCell ref="G13:H13"/>
    <mergeCell ref="G14:H14"/>
    <mergeCell ref="G15:H15"/>
    <mergeCell ref="A26:L26"/>
    <mergeCell ref="A27:L30"/>
    <mergeCell ref="E22:F22"/>
    <mergeCell ref="E23:F23"/>
    <mergeCell ref="E24:F24"/>
    <mergeCell ref="G22:H22"/>
    <mergeCell ref="G23:H23"/>
    <mergeCell ref="G24:H24"/>
    <mergeCell ref="K22:L22"/>
    <mergeCell ref="K23:L23"/>
  </mergeCells>
  <conditionalFormatting sqref="D7:F9">
    <cfRule type="containsText" dxfId="4" priority="4" operator="containsText" text="&quot;BREACH&quot;">
      <formula>NOT(ISERROR(SEARCH("""BREACH""",D7)))</formula>
    </cfRule>
    <cfRule type="containsText" dxfId="3" priority="5" operator="containsText" text="&quot;WITHIN CAP&quot;">
      <formula>NOT(ISERROR(SEARCH("""WITHIN CAP""",D7)))</formula>
    </cfRule>
  </conditionalFormatting>
  <conditionalFormatting sqref="G7:I9">
    <cfRule type="cellIs" dxfId="2" priority="1" operator="lessThanOrEqual">
      <formula>55</formula>
    </cfRule>
    <cfRule type="cellIs" dxfId="1" priority="2" operator="greaterThanOrEqual">
      <formula>70</formula>
    </cfRule>
    <cfRule type="cellIs" dxfId="0" priority="3" operator="between">
      <formula>55</formula>
      <formula>69</formula>
    </cfRule>
  </conditionalFormatting>
  <pageMargins left="0.7" right="0.7" top="0.75" bottom="0.75" header="0.3" footer="0.3"/>
  <pageSetup scale="2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Assumptions</vt:lpstr>
      <vt:lpstr>Budget Allocator</vt:lpstr>
      <vt:lpstr>Burn Tracker</vt:lpstr>
      <vt:lpstr>Performance Bridge</vt:lpstr>
      <vt:lpstr>Benchmarking</vt:lpstr>
      <vt:lpstr>Scenario Analysis</vt:lpstr>
      <vt:lpstr>Dashboard</vt:lpstr>
      <vt:lpstr>ActiveScenario</vt:lpstr>
      <vt:lpstr>AdjustedCap</vt:lpstr>
      <vt:lpstr>CapLimit</vt:lpstr>
      <vt:lpstr>SprintRaces</vt:lpstr>
      <vt:lpstr>StandardRaces</vt:lpstr>
      <vt:lpstr>TotalRaces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cgpju</dc:creator>
  <cp:lastModifiedBy>cgpju</cp:lastModifiedBy>
  <cp:lastPrinted>2026-03-23T17:30:17Z</cp:lastPrinted>
  <dcterms:created xsi:type="dcterms:W3CDTF">2026-03-21T15:47:55Z</dcterms:created>
  <dcterms:modified xsi:type="dcterms:W3CDTF">2026-03-23T17:31:39Z</dcterms:modified>
</cp:coreProperties>
</file>